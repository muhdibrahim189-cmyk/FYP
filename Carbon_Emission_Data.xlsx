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_Data" sheetId="1" state="visible" r:id="rId3"/>
    <sheet name="Changes_Log" sheetId="2" state="visible" r:id="rId4"/>
    <sheet name="Monthly_Data" sheetId="3" state="visible" r:id="rId5"/>
    <sheet name="Assumptions_2026" sheetId="4" state="visible" r:id="rId6"/>
    <sheet name="Annual_Check" sheetId="5" state="visible" r:id="rId7"/>
    <sheet name="Data_Flags" sheetId="6" state="visible" r:id="rId8"/>
    <sheet name="Method_Notes" sheetId="7" state="visible" r:id="rId9"/>
  </sheets>
  <definedNames>
    <definedName function="false" hidden="true" localSheetId="2" name="_xlnm._FilterDatabase" vbProcedure="false">Monthly_Data!$A$1:$T$361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Monthly values = annual figure x fixed monthly share. Edit Annual_Data and the months update automatically; each year always sums exactly to the annual figure.</t>
        </r>
      </text>
    </comment>
    <comment ref="I1" authorId="0">
      <text>
        <r>
          <rPr>
            <sz val="10"/>
            <rFont val="Arial"/>
            <family val="2"/>
          </rPr>
          <t xml:space="preserve">Daily rate. Day-weighted average of the 12 months equals the annual kboe/d figure.</t>
        </r>
      </text>
    </comment>
    <comment ref="M1" authorId="0">
      <text>
        <r>
          <rPr>
            <sz val="10"/>
            <rFont val="Arial"/>
            <family val="2"/>
          </rPr>
          <t xml:space="preserve">T (technology) = energy used per million barrels of oil equivalent produced. Contains no emissions term, so it avoids the Kaya-identity trap.</t>
        </r>
      </text>
    </comment>
    <comment ref="S1" authorId="0">
      <text>
        <r>
          <rPr>
            <sz val="10"/>
            <rFont val="Arial"/>
            <family val="2"/>
          </rPr>
          <t xml:space="preserve">1 from the month a major acquisition took effect: ExxonMobil-Pioneer May-2024, Chevron-Hess Jul-2025, ConocoPhillips-Marathon Jan-2025 (Marathon excluded from COP 2024 emissions).</t>
        </r>
      </text>
    </comment>
  </commentList>
</comments>
</file>

<file path=xl/sharedStrings.xml><?xml version="1.0" encoding="utf-8"?>
<sst xmlns="http://schemas.openxmlformats.org/spreadsheetml/2006/main" count="1016" uniqueCount="95">
  <si>
    <t xml:space="preserve">company</t>
  </si>
  <si>
    <t xml:space="preserve">year</t>
  </si>
  <si>
    <t xml:space="preserve">scope1_mt_co2e</t>
  </si>
  <si>
    <t xml:space="preserve">scope2_location_mt_co2e</t>
  </si>
  <si>
    <t xml:space="preserve">employees_000</t>
  </si>
  <si>
    <t xml:space="preserve">production_koebd_P</t>
  </si>
  <si>
    <t xml:space="preserve">production_net_koebd</t>
  </si>
  <si>
    <t xml:space="preserve">revenue_usd_millions_A</t>
  </si>
  <si>
    <t xml:space="preserve">total_energy_consumption_GWh</t>
  </si>
  <si>
    <t xml:space="preserve">total_energy_consumption_PJ</t>
  </si>
  <si>
    <t xml:space="preserve">post_acquisition</t>
  </si>
  <si>
    <t xml:space="preserve">sources</t>
  </si>
  <si>
    <t xml:space="preserve">notes</t>
  </si>
  <si>
    <t xml:space="preserve">BP</t>
  </si>
  <si>
    <t xml:space="preserve">Revenue = sales and other operating revenues (bp Annual Report &amp; 20-F 2025 income statement; 2021-22 from 20-F 2022). Production = total hydrocarbons net of royalties (KPI table, AR 2025). Employees 2023-25 from AR 2025.</t>
  </si>
  <si>
    <t xml:space="preserve">Production is net (bp does not publish operated production).</t>
  </si>
  <si>
    <t xml:space="preserve">Chevron</t>
  </si>
  <si>
    <t xml:space="preserve">Revenue = sales and other operating revenues (10-K 2023-2025). Production = net oil-equivalent incl. affiliates (10-K 2021-2025). Energy = operated assets (Performance Data 2025).</t>
  </si>
  <si>
    <t xml:space="preserve">2025 includes Hess (acquired Jul-2025). Scope 2 values match Chevron OPERATED market-based Scope 2 (location-based only reported from 2023).</t>
  </si>
  <si>
    <t xml:space="preserve">ConocoPhillips</t>
  </si>
  <si>
    <t xml:space="preserve">Revenue = sales and other operating revenues (10-K; 2025 consistent with Sustainability Report intensity metric). Production = Total Operated Production (Sustainability Report 2025 p.65) converted MMBOE/yr to kboe/d. Energy = operated total (p.62).</t>
  </si>
  <si>
    <t xml:space="preserve">P is OPERATED production to match operated emissions/energy; net production in production_net_koebd. 2025 includes Marathon Oil.</t>
  </si>
  <si>
    <t xml:space="preserve">Equinor</t>
  </si>
  <si>
    <t xml:space="preserve">Revenue = "Revenues" line, consolidated income statement (20-F 2022; Q4 2025 report). Production = total equity liquids and gas production (results releases). Energy = operational control.</t>
  </si>
  <si>
    <t xml:space="preserve">Equinor reports 2025 Scope 1+2 = 10.2 Mt after an operated-boundary reassessment.</t>
  </si>
  <si>
    <t xml:space="preserve">ExxonMobil</t>
  </si>
  <si>
    <t xml:space="preserve">Revenue = sales and other operating revenue (10-K 2022; Annual Report 2025). Production = net oil-equivalent production (results releases; AR 2025). Employees from AR 2025.</t>
  </si>
  <si>
    <t xml:space="preserve">2024 onward includes Pioneer (acquired May-2024). Production is net. Energy rounded to 0.1 billion GJ in source.</t>
  </si>
  <si>
    <t xml:space="preserve">variable</t>
  </si>
  <si>
    <t xml:space="preserve">old_value</t>
  </si>
  <si>
    <t xml:space="preserve">new_value</t>
  </si>
  <si>
    <t xml:space="preserve">change_%</t>
  </si>
  <si>
    <t xml:space="preserve">date</t>
  </si>
  <si>
    <t xml:space="preserve">month</t>
  </si>
  <si>
    <t xml:space="preserve">days_in_month</t>
  </si>
  <si>
    <t xml:space="preserve">energy_intensity_GWh_per_mmboe_T</t>
  </si>
  <si>
    <t xml:space="preserve">ln_scope1</t>
  </si>
  <si>
    <t xml:space="preserve">ln_scope2</t>
  </si>
  <si>
    <t xml:space="preserve">ln_P</t>
  </si>
  <si>
    <t xml:space="preserve">ln_A</t>
  </si>
  <si>
    <t xml:space="preserve">ln_T</t>
  </si>
  <si>
    <t xml:space="preserve">data_type</t>
  </si>
  <si>
    <t xml:space="preserve">_sh_scope1</t>
  </si>
  <si>
    <t xml:space="preserve">_sh_scope2</t>
  </si>
  <si>
    <t xml:space="preserve">_sh_revenue</t>
  </si>
  <si>
    <t xml:space="preserve">_sh_energy</t>
  </si>
  <si>
    <t xml:space="preserve">_fac_production</t>
  </si>
  <si>
    <t xml:space="preserve">Disaggregated (from annual)</t>
  </si>
  <si>
    <t xml:space="preserve">Synthetic 2026</t>
  </si>
  <si>
    <t xml:space="preserve">value_2021</t>
  </si>
  <si>
    <t xml:space="preserve">value_2025</t>
  </si>
  <si>
    <t xml:space="preserve">cagr_2021_25</t>
  </si>
  <si>
    <t xml:space="preserve">growth_used_2026</t>
  </si>
  <si>
    <t xml:space="preserve">target_2026</t>
  </si>
  <si>
    <t xml:space="preserve">basis_for_growth_used</t>
  </si>
  <si>
    <t xml:space="preserve">2021-2025 CAGR (default)</t>
  </si>
  <si>
    <t xml:space="preserve">Company guidance: 2026 production 3,980-4,100 kboe/d (midpoint 4,040), Q4 2025 results</t>
  </si>
  <si>
    <t xml:space="preserve">Company guidance: ~3% oil &amp; gas production growth in 2026, Q4 2025 report</t>
  </si>
  <si>
    <t xml:space="preserve">Yellow cells drive every 2026 value. Default = 2021-2025 CAGR. Overwrite with your own % (e.g. from company production guidance) to change the scenario.</t>
  </si>
  <si>
    <t xml:space="preserve">ConocoPhillips 2025 includes heritage Marathon Oil assets (acquired Nov-2024), so its CAGR includes a one-off step - consider lowering it.</t>
  </si>
  <si>
    <t xml:space="preserve">Production is a daily rate (kboe/d): the 2026 target is the average daily rate for the year.</t>
  </si>
  <si>
    <t xml:space="preserve">BP employees: the 2021-25 CAGR (~8.7%/yr) is driven by the jump from 68k (2022) to 100.5k (2024) and does not fit the 2025 decline; consider overriding with ~0%.</t>
  </si>
  <si>
    <t xml:space="preserve">scope1_annual</t>
  </si>
  <si>
    <t xml:space="preserve">scope1_sum_months</t>
  </si>
  <si>
    <t xml:space="preserve">scope2_annual</t>
  </si>
  <si>
    <t xml:space="preserve">scope2_sum_months</t>
  </si>
  <si>
    <t xml:space="preserve">revenue_annual</t>
  </si>
  <si>
    <t xml:space="preserve">revenue_sum_months</t>
  </si>
  <si>
    <t xml:space="preserve">energy_annual</t>
  </si>
  <si>
    <t xml:space="preserve">energy_sum_months</t>
  </si>
  <si>
    <t xml:space="preserve">production_annual</t>
  </si>
  <si>
    <t xml:space="preserve">production_dayweighted_avg</t>
  </si>
  <si>
    <t xml:space="preserve">issue to check before final analysis</t>
  </si>
  <si>
    <t xml:space="preserve">Employees 2023-2025 corrected to bp Annual Report 2025 (87.8 / 100.5 / 93.7 thousand). Your file had 88 / 101 / 102 - the 2025 value of 102 does not match the report.</t>
  </si>
  <si>
    <t xml:space="preserve">Production 2025 corrected from 4,738 to 4,736 kboe/d (Annual Report 2025).</t>
  </si>
  <si>
    <t xml:space="preserve">Energy use is still the rounded 1.5 / 1.4 billion GJ figures, so T barely changes 2021-23 and 2024-25. Replace with more precise values if you have them.</t>
  </si>
  <si>
    <t xml:space="preserve">2025 Scope 1 + 2 in this file = 10.09 Mt; Equinor reports 10.2 Mt for 2025, after a reassessment of which assets are in its operated boundary. Confirm 2025 Scope 1.</t>
  </si>
  <si>
    <t xml:space="preserve">Scope 2 now matches Chevron operated market-based Scope 2 (2/1/1/2/2). Column name says location-based - Chevron only reports operated location-based from 2023 (2/2/2). Note the basis in your methodology.</t>
  </si>
  <si>
    <t xml:space="preserve">P uses OPERATED production (matches its operated emissions and energy). Other companies only publish NET production. production_net_koebd gives the all-net alternative for a robustness check.</t>
  </si>
  <si>
    <t xml:space="preserve">METHOD</t>
  </si>
  <si>
    <t xml:space="preserve">1. Flow variables (Scope 1, Scope 2, revenue, energy): additive first-difference Denton disaggregation, weighted by days in month and a seasonal profile, so the 12 months sum exactly to the reported annual total.</t>
  </si>
  <si>
    <t xml:space="preserve">   Scope 1 &amp; energy seasonal profile (Jan..Dec): 1.02, 1.01, 1.00, 0.98, 0.97, 0.99, 1.01, 1.01, 0.98, 0.97, 1.01, 1.03</t>
  </si>
  <si>
    <t xml:space="preserve">   Scope 2 seasonal profile (Jan..Dec): 1.04, 1.02, 0.99, 0.96, 0.97, 1.01, 1.05, 1.05, 1.00, 0.96, 0.98, 1.03   Revenue: days-in-month only.</t>
  </si>
  <si>
    <t xml:space="preserve">2. Production (kboe/d, a daily rate): Denton on the rate so the day-weighted monthly average equals the annual average.</t>
  </si>
  <si>
    <t xml:space="preserve">3. Noise: a shared company-level 'activity' shock (AR(1), sd 1.0%) moves production, energy, Scope 1 and revenue together each month, plus small variable-specific noise (seed 2026). This keeps monthly relationships between the STIRPAT drivers and emissions coherent instead of independent random noise.</t>
  </si>
  <si>
    <t xml:space="preserve">4. Employees: year-end headcount, linear between Decembers (Jan-Nov 2021 back-extrapolated using the 2021-22 slope).</t>
  </si>
  <si>
    <t xml:space="preserve">5. Monthly values are FORMULAS = annual value x fixed monthly share (hidden columns U-Y). Correcting a number in Annual_Data updates every month automatically and keeps annual totals exact.</t>
  </si>
  <si>
    <t xml:space="preserve">6. 2026 (synthetic): target = 2025 x (1 + growth) from Assumptions_2026; monthly path continues from the Dec-2025 level with the same seasonality and noise.</t>
  </si>
  <si>
    <t xml:space="preserve">7. STIRPAT columns: P = production, A = revenue, T = energy intensity (GWh per million boe). ln_ columns are natural logs ready for the log-linear STIRPAT regression. post_acquisition is a step dummy for major acquisitions.</t>
  </si>
  <si>
    <t xml:space="preserve">8. Definitions (verified against company filings, see Changes_Log): A = sales and other operating revenues (Equinor: 'Revenues' line), excluding other income and equity-affiliate income. P = net oil-equivalent production, except ConocoPhillips = operated production.</t>
  </si>
  <si>
    <t xml:space="preserve">IMPORTANT FOR YOUR ANALYSIS</t>
  </si>
  <si>
    <t xml:space="preserve">- Real information = 25 annual observations (5 companies x 2021-2025). The 300 monthly rows are derived from them; do not report monthly R-squared as if it came from 300 independent observations.</t>
  </si>
  <si>
    <t xml:space="preserve">- Exclude 'Synthetic 2026' rows (yellow) from training and model fitting.</t>
  </si>
  <si>
    <t xml:space="preserve">- Resolve the items on Data_Flags first, then recheck Annual_Check.</t>
  </si>
  <si>
    <t xml:space="preserve">COLOUR KEY: blue = your input | green = link to another sheet | black = formula | yellow = editable assumption / synthetic rows | grey = hidden helper shares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</si>
</sst>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0.0%"/>
    <numFmt numFmtId="167" formatCode="yyyy\-mm"/>
    <numFmt numFmtId="168" formatCode="0.0000"/>
    <numFmt numFmtId="169" formatCode="0.00000"/>
    <numFmt numFmtId="170" formatCode="0.000"/>
    <numFmt numFmtId="171" formatCode="#,##0.00"/>
    <numFmt numFmtId="172" formatCode="#,##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Segoe UI"/>
      <family val="0"/>
      <charset val="1"/>
    </font>
    <font>
      <sz val="11"/>
      <color rgb="FF000000"/>
      <name val="Segoe UI"/>
      <family val="0"/>
      <charset val="1"/>
    </font>
    <font>
      <sz val="11"/>
      <color rgb="FF0000FF"/>
      <name val="Segoe UI"/>
      <family val="0"/>
      <charset val="1"/>
    </font>
    <font>
      <sz val="11"/>
      <name val="Segoe UI"/>
      <family val="0"/>
      <charset val="1"/>
    </font>
    <font>
      <sz val="11"/>
      <color rgb="FF808080"/>
      <name val="Segoe UI"/>
      <family val="0"/>
      <charset val="1"/>
    </font>
    <font>
      <sz val="10"/>
      <name val="Arial"/>
      <family val="2"/>
    </font>
    <font>
      <sz val="11"/>
      <color rgb="FF008000"/>
      <name val="Segoe UI"/>
      <family val="0"/>
      <charset val="1"/>
    </font>
    <font>
      <i val="true"/>
      <sz val="11"/>
      <name val="Segoe UI"/>
      <family val="0"/>
      <charset val="1"/>
    </font>
    <font>
      <b val="true"/>
      <sz val="11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60"/>
    <col collapsed="false" customWidth="true" hidden="false" outlineLevel="0" max="13" min="13" style="1" width="50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68.25" hidden="false" customHeight="true" outlineLevel="0" collapsed="false">
      <c r="A2" s="3" t="s">
        <v>13</v>
      </c>
      <c r="B2" s="3" t="n">
        <v>2021</v>
      </c>
      <c r="C2" s="4" t="n">
        <v>33.2</v>
      </c>
      <c r="D2" s="4" t="n">
        <v>2.4</v>
      </c>
      <c r="E2" s="4" t="n">
        <v>67</v>
      </c>
      <c r="F2" s="4" t="n">
        <v>2218</v>
      </c>
      <c r="G2" s="4" t="n">
        <v>2218</v>
      </c>
      <c r="H2" s="4" t="n">
        <v>157739</v>
      </c>
      <c r="I2" s="4" t="n">
        <v>128805</v>
      </c>
      <c r="J2" s="4" t="n">
        <v>463.698</v>
      </c>
      <c r="K2" s="4" t="n">
        <v>0</v>
      </c>
      <c r="L2" s="5" t="s">
        <v>14</v>
      </c>
      <c r="M2" s="5" t="s">
        <v>15</v>
      </c>
    </row>
    <row r="3" customFormat="false" ht="68.25" hidden="false" customHeight="true" outlineLevel="0" collapsed="false">
      <c r="A3" s="3" t="s">
        <v>13</v>
      </c>
      <c r="B3" s="3" t="n">
        <v>2022</v>
      </c>
      <c r="C3" s="4" t="n">
        <v>30.4</v>
      </c>
      <c r="D3" s="4" t="n">
        <v>1.4</v>
      </c>
      <c r="E3" s="4" t="n">
        <v>68</v>
      </c>
      <c r="F3" s="4" t="n">
        <v>2253</v>
      </c>
      <c r="G3" s="4" t="n">
        <v>2253</v>
      </c>
      <c r="H3" s="4" t="n">
        <v>241392</v>
      </c>
      <c r="I3" s="4" t="n">
        <v>121697</v>
      </c>
      <c r="J3" s="4" t="n">
        <v>438.1092</v>
      </c>
      <c r="K3" s="4" t="n">
        <v>0</v>
      </c>
      <c r="L3" s="5" t="s">
        <v>14</v>
      </c>
      <c r="M3" s="5" t="s">
        <v>15</v>
      </c>
    </row>
    <row r="4" customFormat="false" ht="68.25" hidden="false" customHeight="true" outlineLevel="0" collapsed="false">
      <c r="A4" s="3" t="s">
        <v>13</v>
      </c>
      <c r="B4" s="3" t="n">
        <v>2023</v>
      </c>
      <c r="C4" s="4" t="n">
        <v>31.1</v>
      </c>
      <c r="D4" s="4" t="n">
        <v>1</v>
      </c>
      <c r="E4" s="4" t="n">
        <v>87.8</v>
      </c>
      <c r="F4" s="4" t="n">
        <v>2313</v>
      </c>
      <c r="G4" s="4" t="n">
        <v>2313</v>
      </c>
      <c r="H4" s="4" t="n">
        <v>210130</v>
      </c>
      <c r="I4" s="4" t="n">
        <v>124770</v>
      </c>
      <c r="J4" s="4" t="n">
        <v>449.172</v>
      </c>
      <c r="K4" s="4" t="n">
        <v>0</v>
      </c>
      <c r="L4" s="5" t="s">
        <v>14</v>
      </c>
      <c r="M4" s="5" t="s">
        <v>15</v>
      </c>
    </row>
    <row r="5" customFormat="false" ht="68.25" hidden="false" customHeight="true" outlineLevel="0" collapsed="false">
      <c r="A5" s="3" t="s">
        <v>13</v>
      </c>
      <c r="B5" s="3" t="n">
        <v>2024</v>
      </c>
      <c r="C5" s="4" t="n">
        <v>32.8</v>
      </c>
      <c r="D5" s="4" t="n">
        <v>0.8</v>
      </c>
      <c r="E5" s="4" t="n">
        <v>100.5</v>
      </c>
      <c r="F5" s="4" t="n">
        <v>2358</v>
      </c>
      <c r="G5" s="4" t="n">
        <v>2358</v>
      </c>
      <c r="H5" s="4" t="n">
        <v>189185</v>
      </c>
      <c r="I5" s="4" t="n">
        <v>129872</v>
      </c>
      <c r="J5" s="4" t="n">
        <v>467.5392</v>
      </c>
      <c r="K5" s="4" t="n">
        <v>0</v>
      </c>
      <c r="L5" s="5" t="s">
        <v>14</v>
      </c>
      <c r="M5" s="5" t="s">
        <v>15</v>
      </c>
    </row>
    <row r="6" customFormat="false" ht="68.25" hidden="false" customHeight="true" outlineLevel="0" collapsed="false">
      <c r="A6" s="3" t="s">
        <v>13</v>
      </c>
      <c r="B6" s="3" t="n">
        <v>2025</v>
      </c>
      <c r="C6" s="4" t="n">
        <v>33.7</v>
      </c>
      <c r="D6" s="4" t="n">
        <v>0.7</v>
      </c>
      <c r="E6" s="4" t="n">
        <v>93.7</v>
      </c>
      <c r="F6" s="4" t="n">
        <v>2312</v>
      </c>
      <c r="G6" s="4" t="n">
        <v>2312</v>
      </c>
      <c r="H6" s="4" t="n">
        <v>189335</v>
      </c>
      <c r="I6" s="4" t="n">
        <v>134448</v>
      </c>
      <c r="J6" s="4" t="n">
        <v>484.0128</v>
      </c>
      <c r="K6" s="4" t="n">
        <v>0</v>
      </c>
      <c r="L6" s="5" t="s">
        <v>14</v>
      </c>
      <c r="M6" s="5" t="s">
        <v>15</v>
      </c>
    </row>
    <row r="7" customFormat="false" ht="54.75" hidden="false" customHeight="true" outlineLevel="0" collapsed="false">
      <c r="A7" s="3" t="s">
        <v>16</v>
      </c>
      <c r="B7" s="3" t="n">
        <v>2021</v>
      </c>
      <c r="C7" s="4" t="n">
        <v>57</v>
      </c>
      <c r="D7" s="4" t="n">
        <v>2</v>
      </c>
      <c r="E7" s="4" t="n">
        <v>37.5</v>
      </c>
      <c r="F7" s="4" t="n">
        <v>3099</v>
      </c>
      <c r="G7" s="4" t="n">
        <v>3099</v>
      </c>
      <c r="H7" s="4" t="n">
        <v>155606</v>
      </c>
      <c r="I7" s="4" t="n">
        <v>205833</v>
      </c>
      <c r="J7" s="4" t="n">
        <v>740.9988</v>
      </c>
      <c r="K7" s="4" t="n">
        <v>0</v>
      </c>
      <c r="L7" s="5" t="s">
        <v>17</v>
      </c>
      <c r="M7" s="5" t="s">
        <v>18</v>
      </c>
    </row>
    <row r="8" customFormat="false" ht="54.75" hidden="false" customHeight="true" outlineLevel="0" collapsed="false">
      <c r="A8" s="3" t="s">
        <v>16</v>
      </c>
      <c r="B8" s="3" t="n">
        <v>2022</v>
      </c>
      <c r="C8" s="4" t="n">
        <v>53</v>
      </c>
      <c r="D8" s="4" t="n">
        <v>1</v>
      </c>
      <c r="E8" s="4" t="n">
        <v>38.3</v>
      </c>
      <c r="F8" s="4" t="n">
        <v>2999</v>
      </c>
      <c r="G8" s="4" t="n">
        <v>2999</v>
      </c>
      <c r="H8" s="4" t="n">
        <v>235717</v>
      </c>
      <c r="I8" s="4" t="n">
        <v>184167</v>
      </c>
      <c r="J8" s="4" t="n">
        <v>663.0012</v>
      </c>
      <c r="K8" s="4" t="n">
        <v>0</v>
      </c>
      <c r="L8" s="5" t="s">
        <v>17</v>
      </c>
      <c r="M8" s="5" t="s">
        <v>18</v>
      </c>
    </row>
    <row r="9" customFormat="false" ht="54.75" hidden="false" customHeight="true" outlineLevel="0" collapsed="false">
      <c r="A9" s="3" t="s">
        <v>16</v>
      </c>
      <c r="B9" s="3" t="n">
        <v>2023</v>
      </c>
      <c r="C9" s="4" t="n">
        <v>52</v>
      </c>
      <c r="D9" s="4" t="n">
        <v>1</v>
      </c>
      <c r="E9" s="4" t="n">
        <v>40.2</v>
      </c>
      <c r="F9" s="4" t="n">
        <v>3120</v>
      </c>
      <c r="G9" s="4" t="n">
        <v>3120</v>
      </c>
      <c r="H9" s="4" t="n">
        <v>196913</v>
      </c>
      <c r="I9" s="4" t="n">
        <v>185278</v>
      </c>
      <c r="J9" s="4" t="n">
        <v>667.0008</v>
      </c>
      <c r="K9" s="4" t="n">
        <v>0</v>
      </c>
      <c r="L9" s="5" t="s">
        <v>17</v>
      </c>
      <c r="M9" s="5" t="s">
        <v>18</v>
      </c>
    </row>
    <row r="10" customFormat="false" ht="54.75" hidden="false" customHeight="true" outlineLevel="0" collapsed="false">
      <c r="A10" s="3" t="s">
        <v>16</v>
      </c>
      <c r="B10" s="3" t="n">
        <v>2024</v>
      </c>
      <c r="C10" s="4" t="n">
        <v>53</v>
      </c>
      <c r="D10" s="4" t="n">
        <v>2</v>
      </c>
      <c r="E10" s="4" t="n">
        <v>41</v>
      </c>
      <c r="F10" s="4" t="n">
        <v>3338</v>
      </c>
      <c r="G10" s="4" t="n">
        <v>3338</v>
      </c>
      <c r="H10" s="4" t="n">
        <v>193414</v>
      </c>
      <c r="I10" s="4" t="n">
        <v>186944</v>
      </c>
      <c r="J10" s="4" t="n">
        <v>672.9984</v>
      </c>
      <c r="K10" s="4" t="n">
        <v>0</v>
      </c>
      <c r="L10" s="5" t="s">
        <v>17</v>
      </c>
      <c r="M10" s="5" t="s">
        <v>18</v>
      </c>
    </row>
    <row r="11" customFormat="false" ht="54.75" hidden="false" customHeight="true" outlineLevel="0" collapsed="false">
      <c r="A11" s="3" t="s">
        <v>16</v>
      </c>
      <c r="B11" s="3" t="n">
        <v>2025</v>
      </c>
      <c r="C11" s="4" t="n">
        <v>55</v>
      </c>
      <c r="D11" s="4" t="n">
        <v>2</v>
      </c>
      <c r="E11" s="4" t="n">
        <v>43</v>
      </c>
      <c r="F11" s="4" t="n">
        <v>3723</v>
      </c>
      <c r="G11" s="4" t="n">
        <v>3723</v>
      </c>
      <c r="H11" s="4" t="n">
        <v>184432</v>
      </c>
      <c r="I11" s="4" t="n">
        <v>197778</v>
      </c>
      <c r="J11" s="4" t="n">
        <v>712.0008</v>
      </c>
      <c r="K11" s="4" t="n">
        <v>1</v>
      </c>
      <c r="L11" s="5" t="s">
        <v>17</v>
      </c>
      <c r="M11" s="5" t="s">
        <v>18</v>
      </c>
    </row>
    <row r="12" customFormat="false" ht="68.25" hidden="false" customHeight="true" outlineLevel="0" collapsed="false">
      <c r="A12" s="3" t="s">
        <v>19</v>
      </c>
      <c r="B12" s="3" t="n">
        <v>2021</v>
      </c>
      <c r="C12" s="4" t="n">
        <v>17.7</v>
      </c>
      <c r="D12" s="4" t="n">
        <v>1.03</v>
      </c>
      <c r="E12" s="4" t="n">
        <v>10.4</v>
      </c>
      <c r="F12" s="4" t="n">
        <v>1901</v>
      </c>
      <c r="G12" s="4" t="n">
        <v>1567</v>
      </c>
      <c r="H12" s="4" t="n">
        <v>45828</v>
      </c>
      <c r="I12" s="4" t="n">
        <v>63596</v>
      </c>
      <c r="J12" s="4" t="n">
        <v>228.9456</v>
      </c>
      <c r="K12" s="4" t="n">
        <v>0</v>
      </c>
      <c r="L12" s="5" t="s">
        <v>20</v>
      </c>
      <c r="M12" s="5" t="s">
        <v>21</v>
      </c>
    </row>
    <row r="13" customFormat="false" ht="68.25" hidden="false" customHeight="true" outlineLevel="0" collapsed="false">
      <c r="A13" s="3" t="s">
        <v>19</v>
      </c>
      <c r="B13" s="3" t="n">
        <v>2022</v>
      </c>
      <c r="C13" s="4" t="n">
        <v>15</v>
      </c>
      <c r="D13" s="4" t="n">
        <v>1.06</v>
      </c>
      <c r="E13" s="4" t="n">
        <v>9.7</v>
      </c>
      <c r="F13" s="4" t="n">
        <v>1885</v>
      </c>
      <c r="G13" s="4" t="n">
        <v>1738</v>
      </c>
      <c r="H13" s="4" t="n">
        <v>78494</v>
      </c>
      <c r="I13" s="4" t="n">
        <v>60373</v>
      </c>
      <c r="J13" s="4" t="n">
        <v>217.3428</v>
      </c>
      <c r="K13" s="4" t="n">
        <v>0</v>
      </c>
      <c r="L13" s="5" t="s">
        <v>20</v>
      </c>
      <c r="M13" s="5" t="s">
        <v>21</v>
      </c>
    </row>
    <row r="14" customFormat="false" ht="68.25" hidden="false" customHeight="true" outlineLevel="0" collapsed="false">
      <c r="A14" s="3" t="s">
        <v>19</v>
      </c>
      <c r="B14" s="3" t="n">
        <v>2023</v>
      </c>
      <c r="C14" s="4" t="n">
        <v>16.4</v>
      </c>
      <c r="D14" s="4" t="n">
        <v>1</v>
      </c>
      <c r="E14" s="4" t="n">
        <v>9.9</v>
      </c>
      <c r="F14" s="4" t="n">
        <v>1885</v>
      </c>
      <c r="G14" s="4" t="n">
        <v>1826</v>
      </c>
      <c r="H14" s="4" t="n">
        <v>56141</v>
      </c>
      <c r="I14" s="4" t="n">
        <v>60080</v>
      </c>
      <c r="J14" s="4" t="n">
        <v>216.288</v>
      </c>
      <c r="K14" s="4" t="n">
        <v>0</v>
      </c>
      <c r="L14" s="5" t="s">
        <v>20</v>
      </c>
      <c r="M14" s="5" t="s">
        <v>21</v>
      </c>
    </row>
    <row r="15" customFormat="false" ht="68.25" hidden="false" customHeight="true" outlineLevel="0" collapsed="false">
      <c r="A15" s="3" t="s">
        <v>19</v>
      </c>
      <c r="B15" s="3" t="n">
        <v>2024</v>
      </c>
      <c r="C15" s="4" t="n">
        <v>15.5</v>
      </c>
      <c r="D15" s="4" t="n">
        <v>0.93</v>
      </c>
      <c r="E15" s="4" t="n">
        <v>11.8</v>
      </c>
      <c r="F15" s="4" t="n">
        <v>2003</v>
      </c>
      <c r="G15" s="4" t="n">
        <v>1987</v>
      </c>
      <c r="H15" s="4" t="n">
        <v>54745</v>
      </c>
      <c r="I15" s="4" t="n">
        <v>60959</v>
      </c>
      <c r="J15" s="4" t="n">
        <v>219.4524</v>
      </c>
      <c r="K15" s="4" t="n">
        <v>0</v>
      </c>
      <c r="L15" s="5" t="s">
        <v>20</v>
      </c>
      <c r="M15" s="5" t="s">
        <v>21</v>
      </c>
    </row>
    <row r="16" customFormat="false" ht="68.25" hidden="false" customHeight="true" outlineLevel="0" collapsed="false">
      <c r="A16" s="3" t="s">
        <v>19</v>
      </c>
      <c r="B16" s="3" t="n">
        <v>2025</v>
      </c>
      <c r="C16" s="4" t="n">
        <v>18.4</v>
      </c>
      <c r="D16" s="4" t="n">
        <v>1.18</v>
      </c>
      <c r="E16" s="4" t="n">
        <v>12</v>
      </c>
      <c r="F16" s="4" t="n">
        <v>2742</v>
      </c>
      <c r="G16" s="4" t="n">
        <v>2375</v>
      </c>
      <c r="H16" s="4" t="n">
        <v>58944</v>
      </c>
      <c r="I16" s="4" t="n">
        <v>72682</v>
      </c>
      <c r="J16" s="4" t="n">
        <v>261.6552</v>
      </c>
      <c r="K16" s="4" t="n">
        <v>1</v>
      </c>
      <c r="L16" s="5" t="s">
        <v>20</v>
      </c>
      <c r="M16" s="5" t="s">
        <v>21</v>
      </c>
    </row>
    <row r="17" customFormat="false" ht="54.75" hidden="false" customHeight="true" outlineLevel="0" collapsed="false">
      <c r="A17" s="3" t="s">
        <v>22</v>
      </c>
      <c r="B17" s="3" t="n">
        <v>2021</v>
      </c>
      <c r="C17" s="4" t="n">
        <v>12.01</v>
      </c>
      <c r="D17" s="4" t="n">
        <v>0.1</v>
      </c>
      <c r="E17" s="4" t="n">
        <v>21.126</v>
      </c>
      <c r="F17" s="4" t="n">
        <v>2079</v>
      </c>
      <c r="G17" s="4" t="n">
        <v>2079</v>
      </c>
      <c r="H17" s="4" t="n">
        <v>88744</v>
      </c>
      <c r="I17" s="4" t="n">
        <v>59000</v>
      </c>
      <c r="J17" s="4" t="n">
        <v>212.4</v>
      </c>
      <c r="K17" s="4" t="n">
        <v>0</v>
      </c>
      <c r="L17" s="5" t="s">
        <v>23</v>
      </c>
      <c r="M17" s="5" t="s">
        <v>24</v>
      </c>
    </row>
    <row r="18" customFormat="false" ht="54.75" hidden="false" customHeight="true" outlineLevel="0" collapsed="false">
      <c r="A18" s="3" t="s">
        <v>22</v>
      </c>
      <c r="B18" s="3" t="n">
        <v>2022</v>
      </c>
      <c r="C18" s="4" t="n">
        <v>11.37</v>
      </c>
      <c r="D18" s="4" t="n">
        <v>0.07</v>
      </c>
      <c r="E18" s="4" t="n">
        <v>21.936</v>
      </c>
      <c r="F18" s="4" t="n">
        <v>2039</v>
      </c>
      <c r="G18" s="4" t="n">
        <v>2039</v>
      </c>
      <c r="H18" s="4" t="n">
        <v>149004</v>
      </c>
      <c r="I18" s="4" t="n">
        <v>56000</v>
      </c>
      <c r="J18" s="4" t="n">
        <v>201.6</v>
      </c>
      <c r="K18" s="4" t="n">
        <v>0</v>
      </c>
      <c r="L18" s="5" t="s">
        <v>23</v>
      </c>
      <c r="M18" s="5" t="s">
        <v>24</v>
      </c>
    </row>
    <row r="19" customFormat="false" ht="54.75" hidden="false" customHeight="true" outlineLevel="0" collapsed="false">
      <c r="A19" s="3" t="s">
        <v>22</v>
      </c>
      <c r="B19" s="3" t="n">
        <v>2023</v>
      </c>
      <c r="C19" s="4" t="n">
        <v>11.48</v>
      </c>
      <c r="D19" s="4" t="n">
        <v>0.13</v>
      </c>
      <c r="E19" s="4" t="n">
        <v>23</v>
      </c>
      <c r="F19" s="4" t="n">
        <v>2082</v>
      </c>
      <c r="G19" s="4" t="n">
        <v>2082</v>
      </c>
      <c r="H19" s="4" t="n">
        <v>106848</v>
      </c>
      <c r="I19" s="4" t="n">
        <v>58000</v>
      </c>
      <c r="J19" s="4" t="n">
        <v>208.8</v>
      </c>
      <c r="K19" s="4" t="n">
        <v>0</v>
      </c>
      <c r="L19" s="5" t="s">
        <v>23</v>
      </c>
      <c r="M19" s="5" t="s">
        <v>24</v>
      </c>
    </row>
    <row r="20" customFormat="false" ht="54.75" hidden="false" customHeight="true" outlineLevel="0" collapsed="false">
      <c r="A20" s="3" t="s">
        <v>22</v>
      </c>
      <c r="B20" s="3" t="n">
        <v>2024</v>
      </c>
      <c r="C20" s="4" t="n">
        <v>10.9</v>
      </c>
      <c r="D20" s="4" t="n">
        <v>0.11</v>
      </c>
      <c r="E20" s="4" t="n">
        <v>24.641</v>
      </c>
      <c r="F20" s="4" t="n">
        <v>2067</v>
      </c>
      <c r="G20" s="4" t="n">
        <v>2067</v>
      </c>
      <c r="H20" s="4" t="n">
        <v>102502</v>
      </c>
      <c r="I20" s="4" t="n">
        <v>56000</v>
      </c>
      <c r="J20" s="4" t="n">
        <v>201.6</v>
      </c>
      <c r="K20" s="4" t="n">
        <v>0</v>
      </c>
      <c r="L20" s="5" t="s">
        <v>23</v>
      </c>
      <c r="M20" s="5" t="s">
        <v>24</v>
      </c>
    </row>
    <row r="21" customFormat="false" ht="54.75" hidden="false" customHeight="true" outlineLevel="0" collapsed="false">
      <c r="A21" s="3" t="s">
        <v>22</v>
      </c>
      <c r="B21" s="3" t="n">
        <v>2025</v>
      </c>
      <c r="C21" s="4" t="n">
        <v>10.04</v>
      </c>
      <c r="D21" s="4" t="n">
        <v>0.05</v>
      </c>
      <c r="E21" s="4" t="n">
        <v>24.6</v>
      </c>
      <c r="F21" s="4" t="n">
        <v>2137</v>
      </c>
      <c r="G21" s="4" t="n">
        <v>2137</v>
      </c>
      <c r="H21" s="4" t="n">
        <v>105828</v>
      </c>
      <c r="I21" s="4" t="n">
        <v>49000</v>
      </c>
      <c r="J21" s="4" t="n">
        <v>176.4</v>
      </c>
      <c r="K21" s="4" t="n">
        <v>0</v>
      </c>
      <c r="L21" s="5" t="s">
        <v>23</v>
      </c>
      <c r="M21" s="5" t="s">
        <v>24</v>
      </c>
    </row>
    <row r="22" customFormat="false" ht="54.75" hidden="false" customHeight="true" outlineLevel="0" collapsed="false">
      <c r="A22" s="3" t="s">
        <v>25</v>
      </c>
      <c r="B22" s="3" t="n">
        <v>2021</v>
      </c>
      <c r="C22" s="4" t="n">
        <v>98</v>
      </c>
      <c r="D22" s="4" t="n">
        <v>7</v>
      </c>
      <c r="E22" s="4" t="n">
        <v>62</v>
      </c>
      <c r="F22" s="4" t="n">
        <v>3712</v>
      </c>
      <c r="G22" s="4" t="n">
        <v>3712</v>
      </c>
      <c r="H22" s="4" t="n">
        <v>276692</v>
      </c>
      <c r="I22" s="4" t="n">
        <v>416667</v>
      </c>
      <c r="J22" s="4" t="n">
        <v>1500.0012</v>
      </c>
      <c r="K22" s="4" t="n">
        <v>0</v>
      </c>
      <c r="L22" s="5" t="s">
        <v>26</v>
      </c>
      <c r="M22" s="5" t="s">
        <v>27</v>
      </c>
    </row>
    <row r="23" customFormat="false" ht="54.75" hidden="false" customHeight="true" outlineLevel="0" collapsed="false">
      <c r="A23" s="3" t="s">
        <v>25</v>
      </c>
      <c r="B23" s="3" t="n">
        <v>2022</v>
      </c>
      <c r="C23" s="4" t="n">
        <v>97</v>
      </c>
      <c r="D23" s="4" t="n">
        <v>7</v>
      </c>
      <c r="E23" s="4" t="n">
        <v>62</v>
      </c>
      <c r="F23" s="4" t="n">
        <v>3737</v>
      </c>
      <c r="G23" s="4" t="n">
        <v>3737</v>
      </c>
      <c r="H23" s="4" t="n">
        <v>398675</v>
      </c>
      <c r="I23" s="4" t="n">
        <v>416667</v>
      </c>
      <c r="J23" s="4" t="n">
        <v>1500.0012</v>
      </c>
      <c r="K23" s="4" t="n">
        <v>0</v>
      </c>
      <c r="L23" s="5" t="s">
        <v>26</v>
      </c>
      <c r="M23" s="5" t="s">
        <v>27</v>
      </c>
    </row>
    <row r="24" customFormat="false" ht="54.75" hidden="false" customHeight="true" outlineLevel="0" collapsed="false">
      <c r="A24" s="3" t="s">
        <v>25</v>
      </c>
      <c r="B24" s="3" t="n">
        <v>2023</v>
      </c>
      <c r="C24" s="4" t="n">
        <v>93</v>
      </c>
      <c r="D24" s="4" t="n">
        <v>7</v>
      </c>
      <c r="E24" s="4" t="n">
        <v>62</v>
      </c>
      <c r="F24" s="4" t="n">
        <v>3738</v>
      </c>
      <c r="G24" s="4" t="n">
        <v>3738</v>
      </c>
      <c r="H24" s="4" t="n">
        <v>334697</v>
      </c>
      <c r="I24" s="4" t="n">
        <v>416667</v>
      </c>
      <c r="J24" s="4" t="n">
        <v>1500.0012</v>
      </c>
      <c r="K24" s="4" t="n">
        <v>0</v>
      </c>
      <c r="L24" s="5" t="s">
        <v>26</v>
      </c>
      <c r="M24" s="5" t="s">
        <v>27</v>
      </c>
    </row>
    <row r="25" customFormat="false" ht="54.75" hidden="false" customHeight="true" outlineLevel="0" collapsed="false">
      <c r="A25" s="3" t="s">
        <v>25</v>
      </c>
      <c r="B25" s="3" t="n">
        <v>2024</v>
      </c>
      <c r="C25" s="4" t="n">
        <v>92</v>
      </c>
      <c r="D25" s="4" t="n">
        <v>8</v>
      </c>
      <c r="E25" s="4" t="n">
        <v>61</v>
      </c>
      <c r="F25" s="4" t="n">
        <v>4333</v>
      </c>
      <c r="G25" s="4" t="n">
        <v>4333</v>
      </c>
      <c r="H25" s="4" t="n">
        <v>339247</v>
      </c>
      <c r="I25" s="4" t="n">
        <v>388889</v>
      </c>
      <c r="J25" s="4" t="n">
        <v>1400.0004</v>
      </c>
      <c r="K25" s="4" t="n">
        <v>1</v>
      </c>
      <c r="L25" s="5" t="s">
        <v>26</v>
      </c>
      <c r="M25" s="5" t="s">
        <v>27</v>
      </c>
    </row>
    <row r="26" customFormat="false" ht="54.75" hidden="false" customHeight="true" outlineLevel="0" collapsed="false">
      <c r="A26" s="3" t="s">
        <v>25</v>
      </c>
      <c r="B26" s="3" t="n">
        <v>2025</v>
      </c>
      <c r="C26" s="4" t="n">
        <v>90</v>
      </c>
      <c r="D26" s="4" t="n">
        <v>9</v>
      </c>
      <c r="E26" s="4" t="n">
        <v>58</v>
      </c>
      <c r="F26" s="4" t="n">
        <v>4736</v>
      </c>
      <c r="G26" s="4" t="n">
        <v>4736</v>
      </c>
      <c r="H26" s="4" t="n">
        <v>323905</v>
      </c>
      <c r="I26" s="4" t="n">
        <v>388889</v>
      </c>
      <c r="J26" s="4" t="n">
        <v>1400.0004</v>
      </c>
      <c r="K26" s="4" t="n">
        <v>1</v>
      </c>
      <c r="L26" s="5" t="s">
        <v>26</v>
      </c>
      <c r="M26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"/>
    <col collapsed="false" customWidth="true" hidden="false" outlineLevel="0" max="3" min="3" style="1" width="26"/>
    <col collapsed="false" customWidth="true" hidden="false" outlineLevel="0" max="5" min="4" style="1" width="13"/>
    <col collapsed="false" customWidth="true" hidden="false" outlineLevel="0" max="6" min="6" style="1" width="10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</row>
    <row r="2" customFormat="false" ht="15" hidden="false" customHeight="true" outlineLevel="0" collapsed="false">
      <c r="A2" s="6" t="s">
        <v>13</v>
      </c>
      <c r="B2" s="6" t="n">
        <v>2023</v>
      </c>
      <c r="C2" s="6" t="s">
        <v>4</v>
      </c>
      <c r="D2" s="7" t="n">
        <v>88</v>
      </c>
      <c r="E2" s="7" t="n">
        <v>87.8</v>
      </c>
      <c r="F2" s="8" t="n">
        <f aca="false">E2/D2-1</f>
        <v>-0.00227272727272732</v>
      </c>
    </row>
    <row r="3" customFormat="false" ht="15" hidden="false" customHeight="true" outlineLevel="0" collapsed="false">
      <c r="A3" s="6" t="s">
        <v>13</v>
      </c>
      <c r="B3" s="6" t="n">
        <v>2024</v>
      </c>
      <c r="C3" s="6" t="s">
        <v>4</v>
      </c>
      <c r="D3" s="7" t="n">
        <v>101</v>
      </c>
      <c r="E3" s="7" t="n">
        <v>100.5</v>
      </c>
      <c r="F3" s="8" t="n">
        <f aca="false">E3/D3-1</f>
        <v>-0.00495049504950496</v>
      </c>
    </row>
    <row r="4" customFormat="false" ht="15" hidden="false" customHeight="true" outlineLevel="0" collapsed="false">
      <c r="A4" s="6" t="s">
        <v>13</v>
      </c>
      <c r="B4" s="6" t="n">
        <v>2025</v>
      </c>
      <c r="C4" s="6" t="s">
        <v>4</v>
      </c>
      <c r="D4" s="7" t="n">
        <v>102</v>
      </c>
      <c r="E4" s="7" t="n">
        <v>93.7</v>
      </c>
      <c r="F4" s="8" t="n">
        <f aca="false">E4/D4-1</f>
        <v>-0.0813725490196078</v>
      </c>
    </row>
    <row r="5" customFormat="false" ht="15" hidden="false" customHeight="true" outlineLevel="0" collapsed="false">
      <c r="A5" s="6" t="s">
        <v>25</v>
      </c>
      <c r="B5" s="6" t="n">
        <v>2025</v>
      </c>
      <c r="C5" s="6" t="s">
        <v>5</v>
      </c>
      <c r="D5" s="7" t="n">
        <v>4738</v>
      </c>
      <c r="E5" s="7" t="n">
        <v>4736</v>
      </c>
      <c r="F5" s="8" t="n">
        <f aca="false">E5/D5-1</f>
        <v>-0.000422119037568613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4" min="3" style="1" width="6"/>
    <col collapsed="false" customWidth="true" hidden="false" outlineLevel="0" max="5" min="5" style="1" width="7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8" min="14" style="1" width="9"/>
    <col collapsed="false" customWidth="true" hidden="false" outlineLevel="0" max="19" min="19" style="1" width="10"/>
    <col collapsed="false" customWidth="true" hidden="false" outlineLevel="0" max="20" min="20" style="1" width="22"/>
    <col collapsed="false" customWidth="true" hidden="true" outlineLevel="0" max="25" min="21" style="1" width="8"/>
  </cols>
  <sheetData>
    <row r="1" customFormat="false" ht="45" hidden="false" customHeight="true" outlineLevel="0" collapsed="false">
      <c r="A1" s="2" t="s">
        <v>0</v>
      </c>
      <c r="B1" s="2" t="s">
        <v>32</v>
      </c>
      <c r="C1" s="2" t="s">
        <v>1</v>
      </c>
      <c r="D1" s="2" t="s">
        <v>33</v>
      </c>
      <c r="E1" s="2" t="s">
        <v>34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7</v>
      </c>
      <c r="K1" s="2" t="s">
        <v>8</v>
      </c>
      <c r="L1" s="2" t="s">
        <v>9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10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</row>
    <row r="2" customFormat="false" ht="15" hidden="false" customHeight="true" outlineLevel="0" collapsed="false">
      <c r="A2" s="3" t="s">
        <v>13</v>
      </c>
      <c r="B2" s="9" t="n">
        <v>44197</v>
      </c>
      <c r="C2" s="3" t="n">
        <v>2021</v>
      </c>
      <c r="D2" s="3" t="n">
        <v>1</v>
      </c>
      <c r="E2" s="3" t="n">
        <v>31</v>
      </c>
      <c r="F2" s="10" t="n">
        <f aca="false">Annual_Data!$C$2*U2</f>
        <v>2.9591307262916</v>
      </c>
      <c r="G2" s="11" t="n">
        <f aca="false">Annual_Data!$D$2*V2</f>
        <v>0.2264869876176</v>
      </c>
      <c r="H2" s="12" t="n">
        <f aca="false">(2*Annual_Data!$E$2-Annual_Data!$E$3)+(Annual_Data!$E$2-(2*Annual_Data!$E$2-Annual_Data!$E$3))*D2/12</f>
        <v>66.0833333333333</v>
      </c>
      <c r="I2" s="13" t="n">
        <f aca="false">Annual_Data!$F$2*Y2</f>
        <v>2218.49546856213</v>
      </c>
      <c r="J2" s="13" t="n">
        <f aca="false">Annual_Data!$H$2*W2</f>
        <v>11284.5273021199</v>
      </c>
      <c r="K2" s="13" t="n">
        <f aca="false">Annual_Data!$I$2*X2</f>
        <v>11278.6331649495</v>
      </c>
      <c r="L2" s="12" t="n">
        <f aca="false">K2*0.0036</f>
        <v>40.6030793938184</v>
      </c>
      <c r="M2" s="14" t="n">
        <f aca="false">K2/(I2*E2/1000)</f>
        <v>163.99712392674</v>
      </c>
      <c r="N2" s="10" t="n">
        <f aca="false">LN(F2)</f>
        <v>1.08489555165531</v>
      </c>
      <c r="O2" s="10" t="n">
        <f aca="false">LN(G2)</f>
        <v>-1.48506778552127</v>
      </c>
      <c r="P2" s="10" t="n">
        <f aca="false">LN(I2)</f>
        <v>7.70458452824853</v>
      </c>
      <c r="Q2" s="10" t="n">
        <f aca="false">LN(J2)</f>
        <v>9.33118780110095</v>
      </c>
      <c r="R2" s="10" t="n">
        <f aca="false">LN(M2)</f>
        <v>5.09984889063835</v>
      </c>
      <c r="S2" s="3" t="n">
        <v>0</v>
      </c>
      <c r="T2" s="3" t="s">
        <v>47</v>
      </c>
      <c r="U2" s="15" t="n">
        <v>0.089130443563</v>
      </c>
      <c r="V2" s="15" t="n">
        <v>0.094369578174</v>
      </c>
      <c r="W2" s="15" t="n">
        <v>0.071539234445</v>
      </c>
      <c r="X2" s="15" t="n">
        <v>0.087563628469</v>
      </c>
      <c r="Y2" s="15" t="n">
        <v>1.000223385285</v>
      </c>
    </row>
    <row r="3" customFormat="false" ht="15" hidden="false" customHeight="true" outlineLevel="0" collapsed="false">
      <c r="A3" s="3" t="s">
        <v>13</v>
      </c>
      <c r="B3" s="9" t="n">
        <v>44228</v>
      </c>
      <c r="C3" s="3" t="n">
        <v>2021</v>
      </c>
      <c r="D3" s="3" t="n">
        <v>2</v>
      </c>
      <c r="E3" s="3" t="n">
        <v>28</v>
      </c>
      <c r="F3" s="10" t="n">
        <f aca="false">Annual_Data!$C$2*U3</f>
        <v>2.6150892747348</v>
      </c>
      <c r="G3" s="11" t="n">
        <f aca="false">Annual_Data!$D$2*V3</f>
        <v>0.2126280232368</v>
      </c>
      <c r="H3" s="12" t="n">
        <f aca="false">(2*Annual_Data!$E$2-Annual_Data!$E$3)+(Annual_Data!$E$2-(2*Annual_Data!$E$2-Annual_Data!$E$3))*D3/12</f>
        <v>66.1666666666667</v>
      </c>
      <c r="I3" s="13" t="n">
        <f aca="false">Annual_Data!$F$2*Y3</f>
        <v>2206.50657590491</v>
      </c>
      <c r="J3" s="13" t="n">
        <f aca="false">Annual_Data!$H$2*W3</f>
        <v>10342.603979275</v>
      </c>
      <c r="K3" s="13" t="n">
        <f aca="false">Annual_Data!$I$2*X3</f>
        <v>10097.0481545204</v>
      </c>
      <c r="L3" s="12" t="n">
        <f aca="false">K3*0.0036</f>
        <v>36.3493733562734</v>
      </c>
      <c r="M3" s="14" t="n">
        <f aca="false">K3/(I3*E3/1000)</f>
        <v>163.429770207484</v>
      </c>
      <c r="N3" s="10" t="n">
        <f aca="false">LN(F3)</f>
        <v>0.961298236412083</v>
      </c>
      <c r="O3" s="10" t="n">
        <f aca="false">LN(G3)</f>
        <v>-1.54821100973439</v>
      </c>
      <c r="P3" s="10" t="n">
        <f aca="false">LN(I3)</f>
        <v>7.69916580894759</v>
      </c>
      <c r="Q3" s="10" t="n">
        <f aca="false">LN(J3)</f>
        <v>9.24402695187701</v>
      </c>
      <c r="R3" s="10" t="n">
        <f aca="false">LN(M3)</f>
        <v>5.09638335804318</v>
      </c>
      <c r="S3" s="3" t="n">
        <v>0</v>
      </c>
      <c r="T3" s="3" t="s">
        <v>47</v>
      </c>
      <c r="U3" s="15" t="n">
        <v>0.078767749239</v>
      </c>
      <c r="V3" s="15" t="n">
        <v>0.088595009682</v>
      </c>
      <c r="W3" s="15" t="n">
        <v>0.065567830272</v>
      </c>
      <c r="X3" s="15" t="n">
        <v>0.078390187916</v>
      </c>
      <c r="Y3" s="15" t="n">
        <v>0.994818113573</v>
      </c>
    </row>
    <row r="4" customFormat="false" ht="15" hidden="false" customHeight="true" outlineLevel="0" collapsed="false">
      <c r="A4" s="3" t="s">
        <v>13</v>
      </c>
      <c r="B4" s="9" t="n">
        <v>44256</v>
      </c>
      <c r="C4" s="3" t="n">
        <v>2021</v>
      </c>
      <c r="D4" s="3" t="n">
        <v>3</v>
      </c>
      <c r="E4" s="3" t="n">
        <v>31</v>
      </c>
      <c r="F4" s="10" t="n">
        <f aca="false">Annual_Data!$C$2*U4</f>
        <v>2.8461040643288</v>
      </c>
      <c r="G4" s="11" t="n">
        <f aca="false">Annual_Data!$D$2*V4</f>
        <v>0.2267268559128</v>
      </c>
      <c r="H4" s="12" t="n">
        <f aca="false">(2*Annual_Data!$E$2-Annual_Data!$E$3)+(Annual_Data!$E$2-(2*Annual_Data!$E$2-Annual_Data!$E$3))*D4/12</f>
        <v>66.25</v>
      </c>
      <c r="I4" s="13" t="n">
        <f aca="false">Annual_Data!$F$2*Y4</f>
        <v>2178.22851322436</v>
      </c>
      <c r="J4" s="13" t="n">
        <f aca="false">Annual_Data!$H$2*W4</f>
        <v>11213.9064927602</v>
      </c>
      <c r="K4" s="13" t="n">
        <f aca="false">Annual_Data!$I$2*X4</f>
        <v>10923.5138614438</v>
      </c>
      <c r="L4" s="12" t="n">
        <f aca="false">K4*0.0036</f>
        <v>39.3246499011978</v>
      </c>
      <c r="M4" s="14" t="n">
        <f aca="false">K4/(I4*E4/1000)</f>
        <v>161.769719175919</v>
      </c>
      <c r="N4" s="10" t="n">
        <f aca="false">LN(F4)</f>
        <v>1.04595106411822</v>
      </c>
      <c r="O4" s="10" t="n">
        <f aca="false">LN(G4)</f>
        <v>-1.48400926393805</v>
      </c>
      <c r="P4" s="10" t="n">
        <f aca="false">LN(I4)</f>
        <v>7.68626721682511</v>
      </c>
      <c r="Q4" s="10" t="n">
        <f aca="false">LN(J4)</f>
        <v>9.32490993821121</v>
      </c>
      <c r="R4" s="10" t="n">
        <f aca="false">LN(M4)</f>
        <v>5.0861738373935</v>
      </c>
      <c r="S4" s="3" t="n">
        <v>0</v>
      </c>
      <c r="T4" s="3" t="s">
        <v>47</v>
      </c>
      <c r="U4" s="15" t="n">
        <v>0.085726026034</v>
      </c>
      <c r="V4" s="15" t="n">
        <v>0.094469523297</v>
      </c>
      <c r="W4" s="15" t="n">
        <v>0.071091527731</v>
      </c>
      <c r="X4" s="15" t="n">
        <v>0.084806598047</v>
      </c>
      <c r="Y4" s="15" t="n">
        <v>0.982068761598</v>
      </c>
    </row>
    <row r="5" customFormat="false" ht="15" hidden="false" customHeight="true" outlineLevel="0" collapsed="false">
      <c r="A5" s="3" t="s">
        <v>13</v>
      </c>
      <c r="B5" s="9" t="n">
        <v>44287</v>
      </c>
      <c r="C5" s="3" t="n">
        <v>2021</v>
      </c>
      <c r="D5" s="3" t="n">
        <v>4</v>
      </c>
      <c r="E5" s="3" t="n">
        <v>30</v>
      </c>
      <c r="F5" s="10" t="n">
        <f aca="false">Annual_Data!$C$2*U5</f>
        <v>2.7371786303044</v>
      </c>
      <c r="G5" s="11" t="n">
        <f aca="false">Annual_Data!$D$2*V5</f>
        <v>0.2052550741944</v>
      </c>
      <c r="H5" s="12" t="n">
        <f aca="false">(2*Annual_Data!$E$2-Annual_Data!$E$3)+(Annual_Data!$E$2-(2*Annual_Data!$E$2-Annual_Data!$E$3))*D5/12</f>
        <v>66.3333333333333</v>
      </c>
      <c r="I5" s="13" t="n">
        <f aca="false">Annual_Data!$F$2*Y5</f>
        <v>2224.65462090248</v>
      </c>
      <c r="J5" s="13" t="n">
        <f aca="false">Annual_Data!$H$2*W5</f>
        <v>11434.0298518682</v>
      </c>
      <c r="K5" s="13" t="n">
        <f aca="false">Annual_Data!$I$2*X5</f>
        <v>10506.9613189712</v>
      </c>
      <c r="L5" s="12" t="n">
        <f aca="false">K5*0.0036</f>
        <v>37.8250607482963</v>
      </c>
      <c r="M5" s="14" t="n">
        <f aca="false">K5/(I5*E5/1000)</f>
        <v>157.432097852397</v>
      </c>
      <c r="N5" s="10" t="n">
        <f aca="false">LN(F5)</f>
        <v>1.00692769292866</v>
      </c>
      <c r="O5" s="10" t="n">
        <f aca="false">LN(G5)</f>
        <v>-1.58350180893618</v>
      </c>
      <c r="P5" s="10" t="n">
        <f aca="false">LN(I5)</f>
        <v>7.70735695599077</v>
      </c>
      <c r="Q5" s="10" t="n">
        <f aca="false">LN(J5)</f>
        <v>9.34434926261884</v>
      </c>
      <c r="R5" s="10" t="n">
        <f aca="false">LN(M5)</f>
        <v>5.05899424055801</v>
      </c>
      <c r="S5" s="3" t="n">
        <v>0</v>
      </c>
      <c r="T5" s="3" t="s">
        <v>47</v>
      </c>
      <c r="U5" s="15" t="n">
        <v>0.082445139467</v>
      </c>
      <c r="V5" s="15" t="n">
        <v>0.085522947581</v>
      </c>
      <c r="W5" s="15" t="n">
        <v>0.072487018758</v>
      </c>
      <c r="X5" s="15" t="n">
        <v>0.081572619999</v>
      </c>
      <c r="Y5" s="15" t="n">
        <v>1.003000279938</v>
      </c>
    </row>
    <row r="6" customFormat="false" ht="15" hidden="false" customHeight="true" outlineLevel="0" collapsed="false">
      <c r="A6" s="3" t="s">
        <v>13</v>
      </c>
      <c r="B6" s="9" t="n">
        <v>44317</v>
      </c>
      <c r="C6" s="3" t="n">
        <v>2021</v>
      </c>
      <c r="D6" s="3" t="n">
        <v>5</v>
      </c>
      <c r="E6" s="3" t="n">
        <v>31</v>
      </c>
      <c r="F6" s="10" t="n">
        <f aca="false">Annual_Data!$C$2*U6</f>
        <v>2.78947459661</v>
      </c>
      <c r="G6" s="11" t="n">
        <f aca="false">Annual_Data!$D$2*V6</f>
        <v>0.2079898258464</v>
      </c>
      <c r="H6" s="12" t="n">
        <f aca="false">(2*Annual_Data!$E$2-Annual_Data!$E$3)+(Annual_Data!$E$2-(2*Annual_Data!$E$2-Annual_Data!$E$3))*D6/12</f>
        <v>66.4166666666667</v>
      </c>
      <c r="I6" s="13" t="n">
        <f aca="false">Annual_Data!$F$2*Y6</f>
        <v>2239.22524737875</v>
      </c>
      <c r="J6" s="13" t="n">
        <f aca="false">Annual_Data!$H$2*W6</f>
        <v>12089.5227306429</v>
      </c>
      <c r="K6" s="13" t="n">
        <f aca="false">Annual_Data!$I$2*X6</f>
        <v>10820.4122433608</v>
      </c>
      <c r="L6" s="12" t="n">
        <f aca="false">K6*0.0036</f>
        <v>38.9534840760989</v>
      </c>
      <c r="M6" s="14" t="n">
        <f aca="false">K6/(I6*E6/1000)</f>
        <v>155.877822763047</v>
      </c>
      <c r="N6" s="10" t="n">
        <f aca="false">LN(F6)</f>
        <v>1.02585326147223</v>
      </c>
      <c r="O6" s="10" t="n">
        <f aca="false">LN(G6)</f>
        <v>-1.57026611467716</v>
      </c>
      <c r="P6" s="10" t="n">
        <f aca="false">LN(I6)</f>
        <v>7.71388521331576</v>
      </c>
      <c r="Q6" s="10" t="n">
        <f aca="false">LN(J6)</f>
        <v>9.400094466456</v>
      </c>
      <c r="R6" s="10" t="n">
        <f aca="false">LN(M6)</f>
        <v>5.04907251298168</v>
      </c>
      <c r="S6" s="3" t="n">
        <v>0</v>
      </c>
      <c r="T6" s="3" t="s">
        <v>47</v>
      </c>
      <c r="U6" s="15" t="n">
        <v>0.084020319175</v>
      </c>
      <c r="V6" s="15" t="n">
        <v>0.086662427436</v>
      </c>
      <c r="W6" s="15" t="n">
        <v>0.076642572418</v>
      </c>
      <c r="X6" s="15" t="n">
        <v>0.084006150719</v>
      </c>
      <c r="Y6" s="15" t="n">
        <v>1.009569543453</v>
      </c>
    </row>
    <row r="7" customFormat="false" ht="15" hidden="false" customHeight="true" outlineLevel="0" collapsed="false">
      <c r="A7" s="3" t="s">
        <v>13</v>
      </c>
      <c r="B7" s="9" t="n">
        <v>44348</v>
      </c>
      <c r="C7" s="3" t="n">
        <v>2021</v>
      </c>
      <c r="D7" s="3" t="n">
        <v>6</v>
      </c>
      <c r="E7" s="3" t="n">
        <v>30</v>
      </c>
      <c r="F7" s="10" t="n">
        <f aca="false">Annual_Data!$C$2*U7</f>
        <v>2.7171938810084</v>
      </c>
      <c r="G7" s="11" t="n">
        <f aca="false">Annual_Data!$D$2*V7</f>
        <v>0.2066276613216</v>
      </c>
      <c r="H7" s="12" t="n">
        <f aca="false">(2*Annual_Data!$E$2-Annual_Data!$E$3)+(Annual_Data!$E$2-(2*Annual_Data!$E$2-Annual_Data!$E$3))*D7/12</f>
        <v>66.5</v>
      </c>
      <c r="I7" s="13" t="n">
        <f aca="false">Annual_Data!$F$2*Y7</f>
        <v>2215.12125908644</v>
      </c>
      <c r="J7" s="13" t="n">
        <f aca="false">Annual_Data!$H$2*W7</f>
        <v>12257.0695916401</v>
      </c>
      <c r="K7" s="13" t="n">
        <f aca="false">Annual_Data!$I$2*X7</f>
        <v>10537.9620196854</v>
      </c>
      <c r="L7" s="12" t="n">
        <f aca="false">K7*0.0036</f>
        <v>37.9366632708676</v>
      </c>
      <c r="M7" s="14" t="n">
        <f aca="false">K7/(I7*E7/1000)</f>
        <v>158.576149822629</v>
      </c>
      <c r="N7" s="10" t="n">
        <f aca="false">LN(F7)</f>
        <v>0.999599686385028</v>
      </c>
      <c r="O7" s="10" t="n">
        <f aca="false">LN(G7)</f>
        <v>-1.57683684296455</v>
      </c>
      <c r="P7" s="10" t="n">
        <f aca="false">LN(I7)</f>
        <v>7.70306242548936</v>
      </c>
      <c r="Q7" s="10" t="n">
        <f aca="false">LN(J7)</f>
        <v>9.41385815903085</v>
      </c>
      <c r="R7" s="10" t="n">
        <f aca="false">LN(M7)</f>
        <v>5.06623491846406</v>
      </c>
      <c r="S7" s="3" t="n">
        <v>0</v>
      </c>
      <c r="T7" s="3" t="s">
        <v>47</v>
      </c>
      <c r="U7" s="15" t="n">
        <v>0.081843189187</v>
      </c>
      <c r="V7" s="15" t="n">
        <v>0.086094858884</v>
      </c>
      <c r="W7" s="15" t="n">
        <v>0.077704750199</v>
      </c>
      <c r="X7" s="15" t="n">
        <v>0.081813299326</v>
      </c>
      <c r="Y7" s="15" t="n">
        <v>0.99870210058</v>
      </c>
    </row>
    <row r="8" customFormat="false" ht="15" hidden="false" customHeight="true" outlineLevel="0" collapsed="false">
      <c r="A8" s="3" t="s">
        <v>13</v>
      </c>
      <c r="B8" s="9" t="n">
        <v>44378</v>
      </c>
      <c r="C8" s="3" t="n">
        <v>2021</v>
      </c>
      <c r="D8" s="3" t="n">
        <v>7</v>
      </c>
      <c r="E8" s="3" t="n">
        <v>31</v>
      </c>
      <c r="F8" s="10" t="n">
        <f aca="false">Annual_Data!$C$2*U8</f>
        <v>2.872122172966</v>
      </c>
      <c r="G8" s="11" t="n">
        <f aca="false">Annual_Data!$D$2*V8</f>
        <v>0.2097246624336</v>
      </c>
      <c r="H8" s="12" t="n">
        <f aca="false">(2*Annual_Data!$E$2-Annual_Data!$E$3)+(Annual_Data!$E$2-(2*Annual_Data!$E$2-Annual_Data!$E$3))*D8/12</f>
        <v>66.5833333333333</v>
      </c>
      <c r="I8" s="13" t="n">
        <f aca="false">Annual_Data!$F$2*Y8</f>
        <v>2210.8952444858</v>
      </c>
      <c r="J8" s="13" t="n">
        <f aca="false">Annual_Data!$H$2*W8</f>
        <v>13145.9176655312</v>
      </c>
      <c r="K8" s="13" t="n">
        <f aca="false">Annual_Data!$I$2*X8</f>
        <v>11099.5341294779</v>
      </c>
      <c r="L8" s="12" t="n">
        <f aca="false">K8*0.0036</f>
        <v>39.9583228661205</v>
      </c>
      <c r="M8" s="14" t="n">
        <f aca="false">K8/(I8*E8/1000)</f>
        <v>161.947739921503</v>
      </c>
      <c r="N8" s="10" t="n">
        <f aca="false">LN(F8)</f>
        <v>1.05505118961477</v>
      </c>
      <c r="O8" s="10" t="n">
        <f aca="false">LN(G8)</f>
        <v>-1.56195973981789</v>
      </c>
      <c r="P8" s="10" t="n">
        <f aca="false">LN(I8)</f>
        <v>7.70115280048843</v>
      </c>
      <c r="Q8" s="10" t="n">
        <f aca="false">LN(J8)</f>
        <v>9.48386654572246</v>
      </c>
      <c r="R8" s="10" t="n">
        <f aca="false">LN(M8)</f>
        <v>5.0872736901109</v>
      </c>
      <c r="S8" s="3" t="n">
        <v>0</v>
      </c>
      <c r="T8" s="3" t="s">
        <v>47</v>
      </c>
      <c r="U8" s="15" t="n">
        <v>0.086509704005</v>
      </c>
      <c r="V8" s="15" t="n">
        <v>0.087385276014</v>
      </c>
      <c r="W8" s="15" t="n">
        <v>0.083339679252</v>
      </c>
      <c r="X8" s="15" t="n">
        <v>0.086173161985</v>
      </c>
      <c r="Y8" s="15" t="n">
        <v>0.996796773889</v>
      </c>
    </row>
    <row r="9" customFormat="false" ht="15" hidden="false" customHeight="true" outlineLevel="0" collapsed="false">
      <c r="A9" s="3" t="s">
        <v>13</v>
      </c>
      <c r="B9" s="9" t="n">
        <v>44409</v>
      </c>
      <c r="C9" s="3" t="n">
        <v>2021</v>
      </c>
      <c r="D9" s="3" t="n">
        <v>8</v>
      </c>
      <c r="E9" s="3" t="n">
        <v>31</v>
      </c>
      <c r="F9" s="10" t="n">
        <f aca="false">Annual_Data!$C$2*U9</f>
        <v>2.8383934366716</v>
      </c>
      <c r="G9" s="11" t="n">
        <f aca="false">Annual_Data!$D$2*V9</f>
        <v>0.2081478895896</v>
      </c>
      <c r="H9" s="12" t="n">
        <f aca="false">(2*Annual_Data!$E$2-Annual_Data!$E$3)+(Annual_Data!$E$2-(2*Annual_Data!$E$2-Annual_Data!$E$3))*D9/12</f>
        <v>66.6666666666667</v>
      </c>
      <c r="I9" s="13" t="n">
        <f aca="false">Annual_Data!$F$2*Y9</f>
        <v>2229.07914473538</v>
      </c>
      <c r="J9" s="13" t="n">
        <f aca="false">Annual_Data!$H$2*W9</f>
        <v>13797.0381917924</v>
      </c>
      <c r="K9" s="13" t="n">
        <f aca="false">Annual_Data!$I$2*X9</f>
        <v>11044.4358620019</v>
      </c>
      <c r="L9" s="12" t="n">
        <f aca="false">K9*0.0036</f>
        <v>39.7599691032067</v>
      </c>
      <c r="M9" s="14" t="n">
        <f aca="false">K9/(I9*E9/1000)</f>
        <v>159.829284402999</v>
      </c>
      <c r="N9" s="10" t="n">
        <f aca="false">LN(F9)</f>
        <v>1.0432382007966</v>
      </c>
      <c r="O9" s="10" t="n">
        <f aca="false">LN(G9)</f>
        <v>-1.5695064442847</v>
      </c>
      <c r="P9" s="10" t="n">
        <f aca="false">LN(I9)</f>
        <v>7.70934383959059</v>
      </c>
      <c r="Q9" s="10" t="n">
        <f aca="false">LN(J9)</f>
        <v>9.53220922432716</v>
      </c>
      <c r="R9" s="10" t="n">
        <f aca="false">LN(M9)</f>
        <v>5.07410627313222</v>
      </c>
      <c r="S9" s="3" t="n">
        <v>0</v>
      </c>
      <c r="T9" s="3" t="s">
        <v>47</v>
      </c>
      <c r="U9" s="15" t="n">
        <v>0.085493778213</v>
      </c>
      <c r="V9" s="15" t="n">
        <v>0.086728287329</v>
      </c>
      <c r="W9" s="15" t="n">
        <v>0.087467514006</v>
      </c>
      <c r="X9" s="15" t="n">
        <v>0.085745397011</v>
      </c>
      <c r="Y9" s="15" t="n">
        <v>1.004995105832</v>
      </c>
    </row>
    <row r="10" customFormat="false" ht="15" hidden="false" customHeight="true" outlineLevel="0" collapsed="false">
      <c r="A10" s="3" t="s">
        <v>13</v>
      </c>
      <c r="B10" s="9" t="n">
        <v>44440</v>
      </c>
      <c r="C10" s="3" t="n">
        <v>2021</v>
      </c>
      <c r="D10" s="3" t="n">
        <v>9</v>
      </c>
      <c r="E10" s="3" t="n">
        <v>30</v>
      </c>
      <c r="F10" s="10" t="n">
        <f aca="false">Annual_Data!$C$2*U10</f>
        <v>2.66336770084</v>
      </c>
      <c r="G10" s="11" t="n">
        <f aca="false">Annual_Data!$D$2*V10</f>
        <v>0.1858840646112</v>
      </c>
      <c r="H10" s="12" t="n">
        <f aca="false">(2*Annual_Data!$E$2-Annual_Data!$E$3)+(Annual_Data!$E$2-(2*Annual_Data!$E$2-Annual_Data!$E$3))*D10/12</f>
        <v>66.75</v>
      </c>
      <c r="I10" s="13" t="n">
        <f aca="false">Annual_Data!$F$2*Y10</f>
        <v>2208.46369077913</v>
      </c>
      <c r="J10" s="13" t="n">
        <f aca="false">Annual_Data!$H$2*W10</f>
        <v>14228.42035552</v>
      </c>
      <c r="K10" s="13" t="n">
        <f aca="false">Annual_Data!$I$2*X10</f>
        <v>10299.6674271116</v>
      </c>
      <c r="L10" s="12" t="n">
        <f aca="false">K10*0.0036</f>
        <v>37.0788027376019</v>
      </c>
      <c r="M10" s="14" t="n">
        <f aca="false">K10/(I10*E10/1000)</f>
        <v>155.457501521914</v>
      </c>
      <c r="N10" s="10" t="n">
        <f aca="false">LN(F10)</f>
        <v>0.97959137497175</v>
      </c>
      <c r="O10" s="10" t="n">
        <f aca="false">LN(G10)</f>
        <v>-1.6826321081484</v>
      </c>
      <c r="P10" s="10" t="n">
        <f aca="false">LN(I10)</f>
        <v>7.7000523902309</v>
      </c>
      <c r="Q10" s="10" t="n">
        <f aca="false">LN(J10)</f>
        <v>9.56299667687708</v>
      </c>
      <c r="R10" s="10" t="n">
        <f aca="false">LN(M10)</f>
        <v>5.04637239215558</v>
      </c>
      <c r="S10" s="3" t="n">
        <v>0</v>
      </c>
      <c r="T10" s="3" t="s">
        <v>47</v>
      </c>
      <c r="U10" s="15" t="n">
        <v>0.0802219187</v>
      </c>
      <c r="V10" s="15" t="n">
        <v>0.077451693588</v>
      </c>
      <c r="W10" s="15" t="n">
        <v>0.090202298452</v>
      </c>
      <c r="X10" s="15" t="n">
        <v>0.079963257848</v>
      </c>
      <c r="Y10" s="15" t="n">
        <v>0.995700491785</v>
      </c>
    </row>
    <row r="11" customFormat="false" ht="15" hidden="false" customHeight="true" outlineLevel="0" collapsed="false">
      <c r="A11" s="3" t="s">
        <v>13</v>
      </c>
      <c r="B11" s="9" t="n">
        <v>44470</v>
      </c>
      <c r="C11" s="3" t="n">
        <v>2021</v>
      </c>
      <c r="D11" s="3" t="n">
        <v>10</v>
      </c>
      <c r="E11" s="3" t="n">
        <v>31</v>
      </c>
      <c r="F11" s="10" t="n">
        <f aca="false">Annual_Data!$C$2*U11</f>
        <v>2.6608216669424</v>
      </c>
      <c r="G11" s="11" t="n">
        <f aca="false">Annual_Data!$D$2*V11</f>
        <v>0.1737292436304</v>
      </c>
      <c r="H11" s="12" t="n">
        <f aca="false">(2*Annual_Data!$E$2-Annual_Data!$E$3)+(Annual_Data!$E$2-(2*Annual_Data!$E$2-Annual_Data!$E$3))*D11/12</f>
        <v>66.8333333333333</v>
      </c>
      <c r="I11" s="13" t="n">
        <f aca="false">Annual_Data!$F$2*Y11</f>
        <v>2214.45294160909</v>
      </c>
      <c r="J11" s="13" t="n">
        <f aca="false">Annual_Data!$H$2*W11</f>
        <v>15292.398881338</v>
      </c>
      <c r="K11" s="13" t="n">
        <f aca="false">Annual_Data!$I$2*X11</f>
        <v>10571.6017306937</v>
      </c>
      <c r="L11" s="12" t="n">
        <f aca="false">K11*0.0036</f>
        <v>38.0577662304975</v>
      </c>
      <c r="M11" s="14" t="n">
        <f aca="false">K11/(I11*E11/1000)</f>
        <v>153.997135933602</v>
      </c>
      <c r="N11" s="10" t="n">
        <f aca="false">LN(F11)</f>
        <v>0.978634972441412</v>
      </c>
      <c r="O11" s="10" t="n">
        <f aca="false">LN(G11)</f>
        <v>-1.75025726279328</v>
      </c>
      <c r="P11" s="10" t="n">
        <f aca="false">LN(I11)</f>
        <v>7.70276067301739</v>
      </c>
      <c r="Q11" s="10" t="n">
        <f aca="false">LN(J11)</f>
        <v>9.63511117879066</v>
      </c>
      <c r="R11" s="10" t="n">
        <f aca="false">LN(M11)</f>
        <v>5.03693400440694</v>
      </c>
      <c r="S11" s="3" t="n">
        <v>0</v>
      </c>
      <c r="T11" s="3" t="s">
        <v>47</v>
      </c>
      <c r="U11" s="15" t="n">
        <v>0.080145230932</v>
      </c>
      <c r="V11" s="15" t="n">
        <v>0.072387184846</v>
      </c>
      <c r="W11" s="15" t="n">
        <v>0.096947482115</v>
      </c>
      <c r="X11" s="15" t="n">
        <v>0.082074467068</v>
      </c>
      <c r="Y11" s="15" t="n">
        <v>0.998400785216</v>
      </c>
    </row>
    <row r="12" customFormat="false" ht="15" hidden="false" customHeight="true" outlineLevel="0" collapsed="false">
      <c r="A12" s="3" t="s">
        <v>13</v>
      </c>
      <c r="B12" s="9" t="n">
        <v>44501</v>
      </c>
      <c r="C12" s="3" t="n">
        <v>2021</v>
      </c>
      <c r="D12" s="3" t="n">
        <v>11</v>
      </c>
      <c r="E12" s="3" t="n">
        <v>30</v>
      </c>
      <c r="F12" s="10" t="n">
        <f aca="false">Annual_Data!$C$2*U12</f>
        <v>2.687541872812</v>
      </c>
      <c r="G12" s="11" t="n">
        <f aca="false">Annual_Data!$D$2*V12</f>
        <v>0.1708483255824</v>
      </c>
      <c r="H12" s="12" t="n">
        <f aca="false">(2*Annual_Data!$E$2-Annual_Data!$E$3)+(Annual_Data!$E$2-(2*Annual_Data!$E$2-Annual_Data!$E$3))*D12/12</f>
        <v>66.9166666666667</v>
      </c>
      <c r="I12" s="13" t="n">
        <f aca="false">Annual_Data!$F$2*Y12</f>
        <v>2229.96709046246</v>
      </c>
      <c r="J12" s="13" t="n">
        <f aca="false">Annual_Data!$H$2*W12</f>
        <v>15578.7041416871</v>
      </c>
      <c r="K12" s="13" t="n">
        <f aca="false">Annual_Data!$I$2*X12</f>
        <v>10570.3173735331</v>
      </c>
      <c r="L12" s="12" t="n">
        <f aca="false">K12*0.0036</f>
        <v>38.0531425447191</v>
      </c>
      <c r="M12" s="14" t="n">
        <f aca="false">K12/(I12*E12/1000)</f>
        <v>158.004086229825</v>
      </c>
      <c r="N12" s="10" t="n">
        <f aca="false">LN(F12)</f>
        <v>0.988626973913614</v>
      </c>
      <c r="O12" s="10" t="n">
        <f aca="false">LN(G12)</f>
        <v>-1.76697910098159</v>
      </c>
      <c r="P12" s="10" t="n">
        <f aca="false">LN(I12)</f>
        <v>7.70974210670512</v>
      </c>
      <c r="Q12" s="10" t="n">
        <f aca="false">LN(J12)</f>
        <v>9.65366014149104</v>
      </c>
      <c r="R12" s="10" t="n">
        <f aca="false">LN(M12)</f>
        <v>5.06262089490663</v>
      </c>
      <c r="S12" s="3" t="n">
        <v>0</v>
      </c>
      <c r="T12" s="3" t="s">
        <v>47</v>
      </c>
      <c r="U12" s="15" t="n">
        <v>0.08095005641</v>
      </c>
      <c r="V12" s="15" t="n">
        <v>0.071186802326</v>
      </c>
      <c r="W12" s="15" t="n">
        <v>0.098762539015</v>
      </c>
      <c r="X12" s="15" t="n">
        <v>0.082064495738</v>
      </c>
      <c r="Y12" s="15" t="n">
        <v>1.005395442048</v>
      </c>
    </row>
    <row r="13" customFormat="false" ht="15" hidden="false" customHeight="true" outlineLevel="0" collapsed="false">
      <c r="A13" s="3" t="s">
        <v>13</v>
      </c>
      <c r="B13" s="9" t="n">
        <v>44531</v>
      </c>
      <c r="C13" s="3" t="n">
        <v>2021</v>
      </c>
      <c r="D13" s="3" t="n">
        <v>12</v>
      </c>
      <c r="E13" s="3" t="n">
        <v>31</v>
      </c>
      <c r="F13" s="10" t="n">
        <f aca="false">Annual_Data!$C$2*U13</f>
        <v>2.8135819764568</v>
      </c>
      <c r="G13" s="11" t="n">
        <f aca="false">Annual_Data!$D$2*V13</f>
        <v>0.1659513860256</v>
      </c>
      <c r="H13" s="12" t="n">
        <f aca="false">(2*Annual_Data!$E$2-Annual_Data!$E$3)+(Annual_Data!$E$2-(2*Annual_Data!$E$2-Annual_Data!$E$3))*D13/12</f>
        <v>67</v>
      </c>
      <c r="I13" s="13" t="n">
        <f aca="false">Annual_Data!$F$2*Y13</f>
        <v>2239.99815089769</v>
      </c>
      <c r="J13" s="13" t="n">
        <f aca="false">Annual_Data!$H$2*W13</f>
        <v>17074.860815825</v>
      </c>
      <c r="K13" s="13" t="n">
        <f aca="false">Annual_Data!$I$2*X13</f>
        <v>11054.9127142506</v>
      </c>
      <c r="L13" s="12" t="n">
        <f aca="false">K13*0.0036</f>
        <v>39.7976857713021</v>
      </c>
      <c r="M13" s="14" t="n">
        <f aca="false">K13/(I13*E13/1000)</f>
        <v>159.201063364074</v>
      </c>
      <c r="N13" s="10" t="n">
        <f aca="false">LN(F13)</f>
        <v>1.03445839629161</v>
      </c>
      <c r="O13" s="10" t="n">
        <f aca="false">LN(G13)</f>
        <v>-1.79606038878354</v>
      </c>
      <c r="P13" s="10" t="n">
        <f aca="false">LN(I13)</f>
        <v>7.71423031935664</v>
      </c>
      <c r="Q13" s="10" t="n">
        <f aca="false">LN(J13)</f>
        <v>9.74536253306317</v>
      </c>
      <c r="R13" s="10" t="n">
        <f aca="false">LN(M13)</f>
        <v>5.07016795281055</v>
      </c>
      <c r="S13" s="3" t="n">
        <v>0</v>
      </c>
      <c r="T13" s="3" t="s">
        <v>47</v>
      </c>
      <c r="U13" s="15" t="n">
        <v>0.084746445074</v>
      </c>
      <c r="V13" s="15" t="n">
        <v>0.069146410844</v>
      </c>
      <c r="W13" s="15" t="n">
        <v>0.108247553337</v>
      </c>
      <c r="X13" s="15" t="n">
        <v>0.085826735874</v>
      </c>
      <c r="Y13" s="15" t="n">
        <v>1.009918012127</v>
      </c>
    </row>
    <row r="14" customFormat="false" ht="15" hidden="false" customHeight="true" outlineLevel="0" collapsed="false">
      <c r="A14" s="3" t="s">
        <v>13</v>
      </c>
      <c r="B14" s="9" t="n">
        <v>44562</v>
      </c>
      <c r="C14" s="3" t="n">
        <v>2022</v>
      </c>
      <c r="D14" s="3" t="n">
        <v>1</v>
      </c>
      <c r="E14" s="3" t="n">
        <v>31</v>
      </c>
      <c r="F14" s="10" t="n">
        <f aca="false">Annual_Data!$C$3*U14</f>
        <v>2.7567105186544</v>
      </c>
      <c r="G14" s="11" t="n">
        <f aca="false">Annual_Data!$D$3*V14</f>
        <v>0.159865918919</v>
      </c>
      <c r="H14" s="12" t="n">
        <f aca="false">Annual_Data!$E$2+(Annual_Data!$E$3-Annual_Data!$E$2)*D14/12</f>
        <v>67.0833333333333</v>
      </c>
      <c r="I14" s="13" t="n">
        <f aca="false">Annual_Data!$F$3*Y14</f>
        <v>2238.08717943137</v>
      </c>
      <c r="J14" s="13" t="n">
        <f aca="false">Annual_Data!$H$3*W14</f>
        <v>17434.7449156435</v>
      </c>
      <c r="K14" s="13" t="n">
        <f aca="false">Annual_Data!$I$3*X14</f>
        <v>10835.8989868815</v>
      </c>
      <c r="L14" s="12" t="n">
        <f aca="false">K14*0.0036</f>
        <v>39.0092363527733</v>
      </c>
      <c r="M14" s="14" t="n">
        <f aca="false">K14/(I14*E14/1000)</f>
        <v>156.180300669918</v>
      </c>
      <c r="N14" s="10" t="n">
        <f aca="false">LN(F14)</f>
        <v>1.01403812785441</v>
      </c>
      <c r="O14" s="10" t="n">
        <f aca="false">LN(G14)</f>
        <v>-1.83341982182851</v>
      </c>
      <c r="P14" s="10" t="n">
        <f aca="false">LN(I14)</f>
        <v>7.71337684228269</v>
      </c>
      <c r="Q14" s="10" t="n">
        <f aca="false">LN(J14)</f>
        <v>9.76622032841158</v>
      </c>
      <c r="R14" s="10" t="n">
        <f aca="false">LN(M14)</f>
        <v>5.05101111338262</v>
      </c>
      <c r="S14" s="3" t="n">
        <v>0</v>
      </c>
      <c r="T14" s="3" t="s">
        <v>47</v>
      </c>
      <c r="U14" s="15" t="n">
        <v>0.090681267061</v>
      </c>
      <c r="V14" s="15" t="n">
        <v>0.114189942085</v>
      </c>
      <c r="W14" s="15" t="n">
        <v>0.072225860491</v>
      </c>
      <c r="X14" s="15" t="n">
        <v>0.089039984444</v>
      </c>
      <c r="Y14" s="15" t="n">
        <v>0.993380905207</v>
      </c>
    </row>
    <row r="15" customFormat="false" ht="15" hidden="false" customHeight="true" outlineLevel="0" collapsed="false">
      <c r="A15" s="3" t="s">
        <v>13</v>
      </c>
      <c r="B15" s="9" t="n">
        <v>44593</v>
      </c>
      <c r="C15" s="3" t="n">
        <v>2022</v>
      </c>
      <c r="D15" s="3" t="n">
        <v>2</v>
      </c>
      <c r="E15" s="3" t="n">
        <v>28</v>
      </c>
      <c r="F15" s="10" t="n">
        <f aca="false">Annual_Data!$C$3*U15</f>
        <v>2.4101871870736</v>
      </c>
      <c r="G15" s="11" t="n">
        <f aca="false">Annual_Data!$D$3*V15</f>
        <v>0.1270498656434</v>
      </c>
      <c r="H15" s="12" t="n">
        <f aca="false">Annual_Data!$E$2+(Annual_Data!$E$3-Annual_Data!$E$2)*D15/12</f>
        <v>67.1666666666667</v>
      </c>
      <c r="I15" s="13" t="n">
        <f aca="false">Annual_Data!$F$3*Y15</f>
        <v>2255.21575175931</v>
      </c>
      <c r="J15" s="13" t="n">
        <f aca="false">Annual_Data!$H$3*W15</f>
        <v>16803.5860543958</v>
      </c>
      <c r="K15" s="13" t="n">
        <f aca="false">Annual_Data!$I$3*X15</f>
        <v>9559.41752131621</v>
      </c>
      <c r="L15" s="12" t="n">
        <f aca="false">K15*0.0036</f>
        <v>34.4139030767384</v>
      </c>
      <c r="M15" s="14" t="n">
        <f aca="false">K15/(I15*E15/1000)</f>
        <v>151.385856697791</v>
      </c>
      <c r="N15" s="10" t="n">
        <f aca="false">LN(F15)</f>
        <v>0.879704415471225</v>
      </c>
      <c r="O15" s="10" t="n">
        <f aca="false">LN(G15)</f>
        <v>-2.06317562672617</v>
      </c>
      <c r="P15" s="10" t="n">
        <f aca="false">LN(I15)</f>
        <v>7.72100092441515</v>
      </c>
      <c r="Q15" s="10" t="n">
        <f aca="false">LN(J15)</f>
        <v>9.72934759823174</v>
      </c>
      <c r="R15" s="10" t="n">
        <f aca="false">LN(M15)</f>
        <v>5.01983191984839</v>
      </c>
      <c r="S15" s="3" t="n">
        <v>0</v>
      </c>
      <c r="T15" s="3" t="s">
        <v>47</v>
      </c>
      <c r="U15" s="15" t="n">
        <v>0.079282473259</v>
      </c>
      <c r="V15" s="15" t="n">
        <v>0.090749904031</v>
      </c>
      <c r="W15" s="15" t="n">
        <v>0.069611196951</v>
      </c>
      <c r="X15" s="15" t="n">
        <v>0.078550971029</v>
      </c>
      <c r="Y15" s="15" t="n">
        <v>1.00098346727</v>
      </c>
    </row>
    <row r="16" customFormat="false" ht="15" hidden="false" customHeight="true" outlineLevel="0" collapsed="false">
      <c r="A16" s="3" t="s">
        <v>13</v>
      </c>
      <c r="B16" s="9" t="n">
        <v>44621</v>
      </c>
      <c r="C16" s="3" t="n">
        <v>2022</v>
      </c>
      <c r="D16" s="3" t="n">
        <v>3</v>
      </c>
      <c r="E16" s="3" t="n">
        <v>31</v>
      </c>
      <c r="F16" s="10" t="n">
        <f aca="false">Annual_Data!$C$3*U16</f>
        <v>2.6284161369648</v>
      </c>
      <c r="G16" s="11" t="n">
        <f aca="false">Annual_Data!$D$3*V16</f>
        <v>0.1377960163034</v>
      </c>
      <c r="H16" s="12" t="n">
        <f aca="false">Annual_Data!$E$2+(Annual_Data!$E$3-Annual_Data!$E$2)*D16/12</f>
        <v>67.25</v>
      </c>
      <c r="I16" s="13" t="n">
        <f aca="false">Annual_Data!$F$3*Y16</f>
        <v>2252.13193588485</v>
      </c>
      <c r="J16" s="13" t="n">
        <f aca="false">Annual_Data!$H$3*W16</f>
        <v>19373.0391957723</v>
      </c>
      <c r="K16" s="13" t="n">
        <f aca="false">Annual_Data!$I$3*X16</f>
        <v>10513.4194022264</v>
      </c>
      <c r="L16" s="12" t="n">
        <f aca="false">K16*0.0036</f>
        <v>37.8483098480151</v>
      </c>
      <c r="M16" s="14" t="n">
        <f aca="false">K16/(I16*E16/1000)</f>
        <v>150.587341690928</v>
      </c>
      <c r="N16" s="10" t="n">
        <f aca="false">LN(F16)</f>
        <v>0.966381435485825</v>
      </c>
      <c r="O16" s="10" t="n">
        <f aca="false">LN(G16)</f>
        <v>-1.98198083008461</v>
      </c>
      <c r="P16" s="10" t="n">
        <f aca="false">LN(I16)</f>
        <v>7.719632573638</v>
      </c>
      <c r="Q16" s="10" t="n">
        <f aca="false">LN(J16)</f>
        <v>9.87163764630135</v>
      </c>
      <c r="R16" s="10" t="n">
        <f aca="false">LN(M16)</f>
        <v>5.0145432593161</v>
      </c>
      <c r="S16" s="3" t="n">
        <v>0</v>
      </c>
      <c r="T16" s="3" t="s">
        <v>47</v>
      </c>
      <c r="U16" s="15" t="n">
        <v>0.086461057137</v>
      </c>
      <c r="V16" s="15" t="n">
        <v>0.098425725931</v>
      </c>
      <c r="W16" s="15" t="n">
        <v>0.080255514664</v>
      </c>
      <c r="X16" s="15" t="n">
        <v>0.086390127959</v>
      </c>
      <c r="Y16" s="15" t="n">
        <v>0.99961470745</v>
      </c>
    </row>
    <row r="17" customFormat="false" ht="15" hidden="false" customHeight="true" outlineLevel="0" collapsed="false">
      <c r="A17" s="3" t="s">
        <v>13</v>
      </c>
      <c r="B17" s="9" t="n">
        <v>44652</v>
      </c>
      <c r="C17" s="3" t="n">
        <v>2022</v>
      </c>
      <c r="D17" s="3" t="n">
        <v>4</v>
      </c>
      <c r="E17" s="3" t="n">
        <v>30</v>
      </c>
      <c r="F17" s="10" t="n">
        <f aca="false">Annual_Data!$C$3*U17</f>
        <v>2.4639185223168</v>
      </c>
      <c r="G17" s="11" t="n">
        <f aca="false">Annual_Data!$D$3*V17</f>
        <v>0.122607140971</v>
      </c>
      <c r="H17" s="12" t="n">
        <f aca="false">Annual_Data!$E$2+(Annual_Data!$E$3-Annual_Data!$E$2)*D17/12</f>
        <v>67.3333333333333</v>
      </c>
      <c r="I17" s="13" t="n">
        <f aca="false">Annual_Data!$F$3*Y17</f>
        <v>2236.69045180639</v>
      </c>
      <c r="J17" s="13" t="n">
        <f aca="false">Annual_Data!$H$3*W17</f>
        <v>19944.4991970409</v>
      </c>
      <c r="K17" s="13" t="n">
        <f aca="false">Annual_Data!$I$3*X17</f>
        <v>9878.86563759556</v>
      </c>
      <c r="L17" s="12" t="n">
        <f aca="false">K17*0.0036</f>
        <v>35.563916295344</v>
      </c>
      <c r="M17" s="14" t="n">
        <f aca="false">K17/(I17*E17/1000)</f>
        <v>147.224449850555</v>
      </c>
      <c r="N17" s="10" t="n">
        <f aca="false">LN(F17)</f>
        <v>0.901752977882982</v>
      </c>
      <c r="O17" s="10" t="n">
        <f aca="false">LN(G17)</f>
        <v>-2.09877001108328</v>
      </c>
      <c r="P17" s="10" t="n">
        <f aca="false">LN(I17)</f>
        <v>7.71275257543171</v>
      </c>
      <c r="Q17" s="10" t="n">
        <f aca="false">LN(J17)</f>
        <v>9.90070865482602</v>
      </c>
      <c r="R17" s="10" t="n">
        <f aca="false">LN(M17)</f>
        <v>4.99195829203001</v>
      </c>
      <c r="S17" s="3" t="n">
        <v>0</v>
      </c>
      <c r="T17" s="3" t="s">
        <v>47</v>
      </c>
      <c r="U17" s="15" t="n">
        <v>0.081049951392</v>
      </c>
      <c r="V17" s="15" t="n">
        <v>0.087576529265</v>
      </c>
      <c r="W17" s="15" t="n">
        <v>0.082622867357</v>
      </c>
      <c r="X17" s="15" t="n">
        <v>0.081175917546</v>
      </c>
      <c r="Y17" s="15" t="n">
        <v>0.992760963962</v>
      </c>
    </row>
    <row r="18" customFormat="false" ht="15" hidden="false" customHeight="true" outlineLevel="0" collapsed="false">
      <c r="A18" s="3" t="s">
        <v>13</v>
      </c>
      <c r="B18" s="9" t="n">
        <v>44682</v>
      </c>
      <c r="C18" s="3" t="n">
        <v>2022</v>
      </c>
      <c r="D18" s="3" t="n">
        <v>5</v>
      </c>
      <c r="E18" s="3" t="n">
        <v>31</v>
      </c>
      <c r="F18" s="10" t="n">
        <f aca="false">Annual_Data!$C$3*U18</f>
        <v>2.489630582184</v>
      </c>
      <c r="G18" s="11" t="n">
        <f aca="false">Annual_Data!$D$3*V18</f>
        <v>0.1205236400284</v>
      </c>
      <c r="H18" s="12" t="n">
        <f aca="false">Annual_Data!$E$2+(Annual_Data!$E$3-Annual_Data!$E$2)*D18/12</f>
        <v>67.4166666666667</v>
      </c>
      <c r="I18" s="13" t="n">
        <f aca="false">Annual_Data!$F$3*Y18</f>
        <v>2235.93952944101</v>
      </c>
      <c r="J18" s="13" t="n">
        <f aca="false">Annual_Data!$H$3*W18</f>
        <v>21057.4361956876</v>
      </c>
      <c r="K18" s="13" t="n">
        <f aca="false">Annual_Data!$I$3*X18</f>
        <v>9987.74322238214</v>
      </c>
      <c r="L18" s="12" t="n">
        <f aca="false">K18*0.0036</f>
        <v>35.9558756005757</v>
      </c>
      <c r="M18" s="14" t="n">
        <f aca="false">K18/(I18*E18/1000)</f>
        <v>144.093908174109</v>
      </c>
      <c r="N18" s="10" t="n">
        <f aca="false">LN(F18)</f>
        <v>0.912134338901424</v>
      </c>
      <c r="O18" s="10" t="n">
        <f aca="false">LN(G18)</f>
        <v>-2.11590936248446</v>
      </c>
      <c r="P18" s="10" t="n">
        <f aca="false">LN(I18)</f>
        <v>7.71241678983103</v>
      </c>
      <c r="Q18" s="10" t="n">
        <f aca="false">LN(J18)</f>
        <v>9.95500904018078</v>
      </c>
      <c r="R18" s="10" t="n">
        <f aca="false">LN(M18)</f>
        <v>4.97046522712303</v>
      </c>
      <c r="S18" s="3" t="n">
        <v>0</v>
      </c>
      <c r="T18" s="3" t="s">
        <v>47</v>
      </c>
      <c r="U18" s="15" t="n">
        <v>0.081895742835</v>
      </c>
      <c r="V18" s="15" t="n">
        <v>0.086088314306</v>
      </c>
      <c r="W18" s="15" t="n">
        <v>0.087233363971</v>
      </c>
      <c r="X18" s="15" t="n">
        <v>0.082070578752</v>
      </c>
      <c r="Y18" s="15" t="n">
        <v>0.992427665087</v>
      </c>
    </row>
    <row r="19" customFormat="false" ht="15" hidden="false" customHeight="true" outlineLevel="0" collapsed="false">
      <c r="A19" s="3" t="s">
        <v>13</v>
      </c>
      <c r="B19" s="9" t="n">
        <v>44713</v>
      </c>
      <c r="C19" s="3" t="n">
        <v>2022</v>
      </c>
      <c r="D19" s="3" t="n">
        <v>6</v>
      </c>
      <c r="E19" s="3" t="n">
        <v>30</v>
      </c>
      <c r="F19" s="10" t="n">
        <f aca="false">Annual_Data!$C$3*U19</f>
        <v>2.4870919445776</v>
      </c>
      <c r="G19" s="11" t="n">
        <f aca="false">Annual_Data!$D$3*V19</f>
        <v>0.1215060256424</v>
      </c>
      <c r="H19" s="12" t="n">
        <f aca="false">Annual_Data!$E$2+(Annual_Data!$E$3-Annual_Data!$E$2)*D19/12</f>
        <v>67.5</v>
      </c>
      <c r="I19" s="13" t="n">
        <f aca="false">Annual_Data!$F$3*Y19</f>
        <v>2263.48317695783</v>
      </c>
      <c r="J19" s="13" t="n">
        <f aca="false">Annual_Data!$H$3*W19</f>
        <v>20870.4276931417</v>
      </c>
      <c r="K19" s="13" t="n">
        <f aca="false">Annual_Data!$I$3*X19</f>
        <v>9973.62888050447</v>
      </c>
      <c r="L19" s="12" t="n">
        <f aca="false">K19*0.0036</f>
        <v>35.9050639698161</v>
      </c>
      <c r="M19" s="14" t="n">
        <f aca="false">K19/(I19*E19/1000)</f>
        <v>146.87729928863</v>
      </c>
      <c r="N19" s="10" t="n">
        <f aca="false">LN(F19)</f>
        <v>0.911114134213323</v>
      </c>
      <c r="O19" s="10" t="n">
        <f aca="false">LN(G19)</f>
        <v>-2.10779142366666</v>
      </c>
      <c r="P19" s="10" t="n">
        <f aca="false">LN(I19)</f>
        <v>7.72466013453465</v>
      </c>
      <c r="Q19" s="10" t="n">
        <f aca="false">LN(J19)</f>
        <v>9.94608849306403</v>
      </c>
      <c r="R19" s="10" t="n">
        <f aca="false">LN(M19)</f>
        <v>4.98959753950699</v>
      </c>
      <c r="S19" s="3" t="n">
        <v>0</v>
      </c>
      <c r="T19" s="3" t="s">
        <v>47</v>
      </c>
      <c r="U19" s="15" t="n">
        <v>0.081812235019</v>
      </c>
      <c r="V19" s="15" t="n">
        <v>0.086790018316</v>
      </c>
      <c r="W19" s="15" t="n">
        <v>0.086458655188</v>
      </c>
      <c r="X19" s="15" t="n">
        <v>0.081954599378</v>
      </c>
      <c r="Y19" s="15" t="n">
        <v>1.004652985778</v>
      </c>
    </row>
    <row r="20" customFormat="false" ht="15" hidden="false" customHeight="true" outlineLevel="0" collapsed="false">
      <c r="A20" s="3" t="s">
        <v>13</v>
      </c>
      <c r="B20" s="9" t="n">
        <v>44743</v>
      </c>
      <c r="C20" s="3" t="n">
        <v>2022</v>
      </c>
      <c r="D20" s="3" t="n">
        <v>7</v>
      </c>
      <c r="E20" s="3" t="n">
        <v>31</v>
      </c>
      <c r="F20" s="10" t="n">
        <f aca="false">Annual_Data!$C$3*U20</f>
        <v>2.6045271311408</v>
      </c>
      <c r="G20" s="11" t="n">
        <f aca="false">Annual_Data!$D$3*V20</f>
        <v>0.1183244742036</v>
      </c>
      <c r="H20" s="12" t="n">
        <f aca="false">Annual_Data!$E$2+(Annual_Data!$E$3-Annual_Data!$E$2)*D20/12</f>
        <v>67.5833333333333</v>
      </c>
      <c r="I20" s="13" t="n">
        <f aca="false">Annual_Data!$F$3*Y20</f>
        <v>2259.8669966921</v>
      </c>
      <c r="J20" s="13" t="n">
        <f aca="false">Annual_Data!$H$3*W20</f>
        <v>22019.4527344748</v>
      </c>
      <c r="K20" s="13" t="n">
        <f aca="false">Annual_Data!$I$3*X20</f>
        <v>10397.1692768792</v>
      </c>
      <c r="L20" s="12" t="n">
        <f aca="false">K20*0.0036</f>
        <v>37.4298093967651</v>
      </c>
      <c r="M20" s="14" t="n">
        <f aca="false">K20/(I20*E20/1000)</f>
        <v>148.412520652595</v>
      </c>
      <c r="N20" s="10" t="n">
        <f aca="false">LN(F20)</f>
        <v>0.95725113517354</v>
      </c>
      <c r="O20" s="10" t="n">
        <f aca="false">LN(G20)</f>
        <v>-2.13432464686249</v>
      </c>
      <c r="P20" s="10" t="n">
        <f aca="false">LN(I20)</f>
        <v>7.72306123951335</v>
      </c>
      <c r="Q20" s="10" t="n">
        <f aca="false">LN(J20)</f>
        <v>9.99968155685588</v>
      </c>
      <c r="R20" s="10" t="n">
        <f aca="false">LN(M20)</f>
        <v>4.99999569814861</v>
      </c>
      <c r="S20" s="3" t="n">
        <v>0</v>
      </c>
      <c r="T20" s="3" t="s">
        <v>47</v>
      </c>
      <c r="U20" s="15" t="n">
        <v>0.085675234577</v>
      </c>
      <c r="V20" s="15" t="n">
        <v>0.084517481574</v>
      </c>
      <c r="W20" s="15" t="n">
        <v>0.091218651548</v>
      </c>
      <c r="X20" s="15" t="n">
        <v>0.085434885633</v>
      </c>
      <c r="Y20" s="15" t="n">
        <v>1.003047934617</v>
      </c>
    </row>
    <row r="21" customFormat="false" ht="15" hidden="false" customHeight="true" outlineLevel="0" collapsed="false">
      <c r="A21" s="3" t="s">
        <v>13</v>
      </c>
      <c r="B21" s="9" t="n">
        <v>44774</v>
      </c>
      <c r="C21" s="3" t="n">
        <v>2022</v>
      </c>
      <c r="D21" s="3" t="n">
        <v>8</v>
      </c>
      <c r="E21" s="3" t="n">
        <v>31</v>
      </c>
      <c r="F21" s="10" t="n">
        <f aca="false">Annual_Data!$C$3*U21</f>
        <v>2.5278004690272</v>
      </c>
      <c r="G21" s="11" t="n">
        <f aca="false">Annual_Data!$D$3*V21</f>
        <v>0.1077891258458</v>
      </c>
      <c r="H21" s="12" t="n">
        <f aca="false">Annual_Data!$E$2+(Annual_Data!$E$3-Annual_Data!$E$2)*D21/12</f>
        <v>67.6666666666667</v>
      </c>
      <c r="I21" s="13" t="n">
        <f aca="false">Annual_Data!$F$3*Y21</f>
        <v>2247.01326644926</v>
      </c>
      <c r="J21" s="13" t="n">
        <f aca="false">Annual_Data!$H$3*W21</f>
        <v>20474.7339128755</v>
      </c>
      <c r="K21" s="13" t="n">
        <f aca="false">Annual_Data!$I$3*X21</f>
        <v>10196.1902870179</v>
      </c>
      <c r="L21" s="12" t="n">
        <f aca="false">K21*0.0036</f>
        <v>36.7062850332645</v>
      </c>
      <c r="M21" s="14" t="n">
        <f aca="false">K21/(I21*E21/1000)</f>
        <v>146.376244861739</v>
      </c>
      <c r="N21" s="10" t="n">
        <f aca="false">LN(F21)</f>
        <v>0.927349544778462</v>
      </c>
      <c r="O21" s="10" t="n">
        <f aca="false">LN(G21)</f>
        <v>-2.22757849901089</v>
      </c>
      <c r="P21" s="10" t="n">
        <f aca="false">LN(I21)</f>
        <v>7.71735717623967</v>
      </c>
      <c r="Q21" s="10" t="n">
        <f aca="false">LN(J21)</f>
        <v>9.92694691292867</v>
      </c>
      <c r="R21" s="10" t="n">
        <f aca="false">LN(M21)</f>
        <v>4.98618032648796</v>
      </c>
      <c r="S21" s="3" t="n">
        <v>0</v>
      </c>
      <c r="T21" s="3" t="s">
        <v>47</v>
      </c>
      <c r="U21" s="15" t="n">
        <v>0.083151331218</v>
      </c>
      <c r="V21" s="15" t="n">
        <v>0.076992232747</v>
      </c>
      <c r="W21" s="15" t="n">
        <v>0.08481943856</v>
      </c>
      <c r="X21" s="15" t="n">
        <v>0.083783415261</v>
      </c>
      <c r="Y21" s="15" t="n">
        <v>0.997342772503</v>
      </c>
    </row>
    <row r="22" customFormat="false" ht="15" hidden="false" customHeight="true" outlineLevel="0" collapsed="false">
      <c r="A22" s="3" t="s">
        <v>13</v>
      </c>
      <c r="B22" s="9" t="n">
        <v>44805</v>
      </c>
      <c r="C22" s="3" t="n">
        <v>2022</v>
      </c>
      <c r="D22" s="3" t="n">
        <v>9</v>
      </c>
      <c r="E22" s="3" t="n">
        <v>30</v>
      </c>
      <c r="F22" s="10" t="n">
        <f aca="false">Annual_Data!$C$3*U22</f>
        <v>2.3779343181392</v>
      </c>
      <c r="G22" s="11" t="n">
        <f aca="false">Annual_Data!$D$3*V22</f>
        <v>0.104196608866</v>
      </c>
      <c r="H22" s="12" t="n">
        <f aca="false">Annual_Data!$E$2+(Annual_Data!$E$3-Annual_Data!$E$2)*D22/12</f>
        <v>67.75</v>
      </c>
      <c r="I22" s="13" t="n">
        <f aca="false">Annual_Data!$F$3*Y22</f>
        <v>2259.29650019021</v>
      </c>
      <c r="J22" s="13" t="n">
        <f aca="false">Annual_Data!$H$3*W22</f>
        <v>20600.5619444527</v>
      </c>
      <c r="K22" s="13" t="n">
        <f aca="false">Annual_Data!$I$3*X22</f>
        <v>9638.48752571283</v>
      </c>
      <c r="L22" s="12" t="n">
        <f aca="false">K22*0.0036</f>
        <v>34.6985550925662</v>
      </c>
      <c r="M22" s="14" t="n">
        <f aca="false">K22/(I22*E22/1000)</f>
        <v>142.204848941567</v>
      </c>
      <c r="N22" s="10" t="n">
        <f aca="false">LN(F22)</f>
        <v>0.866232177256015</v>
      </c>
      <c r="O22" s="10" t="n">
        <f aca="false">LN(G22)</f>
        <v>-2.26147569466462</v>
      </c>
      <c r="P22" s="10" t="n">
        <f aca="false">LN(I22)</f>
        <v>7.72280876070602</v>
      </c>
      <c r="Q22" s="10" t="n">
        <f aca="false">LN(J22)</f>
        <v>9.93307363326254</v>
      </c>
      <c r="R22" s="10" t="n">
        <f aca="false">LN(M22)</f>
        <v>4.9572686162362</v>
      </c>
      <c r="S22" s="3" t="n">
        <v>0</v>
      </c>
      <c r="T22" s="3" t="s">
        <v>47</v>
      </c>
      <c r="U22" s="15" t="n">
        <v>0.078221523623</v>
      </c>
      <c r="V22" s="15" t="n">
        <v>0.07442614919</v>
      </c>
      <c r="W22" s="15" t="n">
        <v>0.085340698716</v>
      </c>
      <c r="X22" s="15" t="n">
        <v>0.079200699489</v>
      </c>
      <c r="Y22" s="15" t="n">
        <v>1.002794718238</v>
      </c>
    </row>
    <row r="23" customFormat="false" ht="15" hidden="false" customHeight="true" outlineLevel="0" collapsed="false">
      <c r="A23" s="3" t="s">
        <v>13</v>
      </c>
      <c r="B23" s="9" t="n">
        <v>44835</v>
      </c>
      <c r="C23" s="3" t="n">
        <v>2022</v>
      </c>
      <c r="D23" s="3" t="n">
        <v>10</v>
      </c>
      <c r="E23" s="3" t="n">
        <v>31</v>
      </c>
      <c r="F23" s="10" t="n">
        <f aca="false">Annual_Data!$C$3*U23</f>
        <v>2.4676889032016</v>
      </c>
      <c r="G23" s="11" t="n">
        <f aca="false">Annual_Data!$D$3*V23</f>
        <v>0.091435800064</v>
      </c>
      <c r="H23" s="12" t="n">
        <f aca="false">Annual_Data!$E$2+(Annual_Data!$E$3-Annual_Data!$E$2)*D23/12</f>
        <v>67.8333333333333</v>
      </c>
      <c r="I23" s="13" t="n">
        <f aca="false">Annual_Data!$F$3*Y23</f>
        <v>2261.7860239513</v>
      </c>
      <c r="J23" s="13" t="n">
        <f aca="false">Annual_Data!$H$3*W23</f>
        <v>21391.533700506</v>
      </c>
      <c r="K23" s="13" t="n">
        <f aca="false">Annual_Data!$I$3*X23</f>
        <v>9962.37422389838</v>
      </c>
      <c r="L23" s="12" t="n">
        <f aca="false">K23*0.0036</f>
        <v>35.8645472060342</v>
      </c>
      <c r="M23" s="14" t="n">
        <f aca="false">K23/(I23*E23/1000)</f>
        <v>142.085461243992</v>
      </c>
      <c r="N23" s="10" t="n">
        <f aca="false">LN(F23)</f>
        <v>0.903282045910538</v>
      </c>
      <c r="O23" s="10" t="n">
        <f aca="false">LN(G23)</f>
        <v>-2.39211819160906</v>
      </c>
      <c r="P23" s="10" t="n">
        <f aca="false">LN(I23)</f>
        <v>7.72391005624726</v>
      </c>
      <c r="Q23" s="10" t="n">
        <f aca="false">LN(J23)</f>
        <v>9.97075050125944</v>
      </c>
      <c r="R23" s="10" t="n">
        <f aca="false">LN(M23)</f>
        <v>4.95642871631477</v>
      </c>
      <c r="S23" s="3" t="n">
        <v>0</v>
      </c>
      <c r="T23" s="3" t="s">
        <v>47</v>
      </c>
      <c r="U23" s="15" t="n">
        <v>0.081173977079</v>
      </c>
      <c r="V23" s="15" t="n">
        <v>0.06531128576</v>
      </c>
      <c r="W23" s="15" t="n">
        <v>0.088617409444</v>
      </c>
      <c r="X23" s="15" t="n">
        <v>0.081862118408</v>
      </c>
      <c r="Y23" s="15" t="n">
        <v>1.003899699934</v>
      </c>
    </row>
    <row r="24" customFormat="false" ht="15" hidden="false" customHeight="true" outlineLevel="0" collapsed="false">
      <c r="A24" s="3" t="s">
        <v>13</v>
      </c>
      <c r="B24" s="9" t="n">
        <v>44866</v>
      </c>
      <c r="C24" s="3" t="n">
        <v>2022</v>
      </c>
      <c r="D24" s="3" t="n">
        <v>11</v>
      </c>
      <c r="E24" s="3" t="n">
        <v>30</v>
      </c>
      <c r="F24" s="10" t="n">
        <f aca="false">Annual_Data!$C$3*U24</f>
        <v>2.5065082272816</v>
      </c>
      <c r="G24" s="11" t="n">
        <f aca="false">Annual_Data!$D$3*V24</f>
        <v>0.091630293587</v>
      </c>
      <c r="H24" s="12" t="n">
        <f aca="false">Annual_Data!$E$2+(Annual_Data!$E$3-Annual_Data!$E$2)*D24/12</f>
        <v>67.9166666666667</v>
      </c>
      <c r="I24" s="13" t="n">
        <f aca="false">Annual_Data!$F$3*Y24</f>
        <v>2251.06849974078</v>
      </c>
      <c r="J24" s="13" t="n">
        <f aca="false">Annual_Data!$H$3*W24</f>
        <v>20253.7475310544</v>
      </c>
      <c r="K24" s="13" t="n">
        <f aca="false">Annual_Data!$I$3*X24</f>
        <v>10070.6946680143</v>
      </c>
      <c r="L24" s="12" t="n">
        <f aca="false">K24*0.0036</f>
        <v>36.2545008048517</v>
      </c>
      <c r="M24" s="14" t="n">
        <f aca="false">K24/(I24*E24/1000)</f>
        <v>149.124658936768</v>
      </c>
      <c r="N24" s="10" t="n">
        <f aca="false">LN(F24)</f>
        <v>0.91889064009449</v>
      </c>
      <c r="O24" s="10" t="n">
        <f aca="false">LN(G24)</f>
        <v>-2.38999334596126</v>
      </c>
      <c r="P24" s="10" t="n">
        <f aca="false">LN(I24)</f>
        <v>7.71916027124816</v>
      </c>
      <c r="Q24" s="10" t="n">
        <f aca="false">LN(J24)</f>
        <v>9.91609511867454</v>
      </c>
      <c r="R24" s="10" t="n">
        <f aca="false">LN(M24)</f>
        <v>5.00478259331919</v>
      </c>
      <c r="S24" s="3" t="n">
        <v>0</v>
      </c>
      <c r="T24" s="3" t="s">
        <v>47</v>
      </c>
      <c r="U24" s="15" t="n">
        <v>0.082450928529</v>
      </c>
      <c r="V24" s="15" t="n">
        <v>0.065450209705</v>
      </c>
      <c r="W24" s="15" t="n">
        <v>0.083903971677</v>
      </c>
      <c r="X24" s="15" t="n">
        <v>0.082752201517</v>
      </c>
      <c r="Y24" s="15" t="n">
        <v>0.999142698509</v>
      </c>
    </row>
    <row r="25" customFormat="false" ht="15" hidden="false" customHeight="true" outlineLevel="0" collapsed="false">
      <c r="A25" s="3" t="s">
        <v>13</v>
      </c>
      <c r="B25" s="9" t="n">
        <v>44896</v>
      </c>
      <c r="C25" s="3" t="n">
        <v>2022</v>
      </c>
      <c r="D25" s="3" t="n">
        <v>12</v>
      </c>
      <c r="E25" s="3" t="n">
        <v>31</v>
      </c>
      <c r="F25" s="10" t="n">
        <f aca="false">Annual_Data!$C$3*U25</f>
        <v>2.6795860594688</v>
      </c>
      <c r="G25" s="11" t="n">
        <f aca="false">Annual_Data!$D$3*V25</f>
        <v>0.097275089926</v>
      </c>
      <c r="H25" s="12" t="n">
        <f aca="false">Annual_Data!$E$2+(Annual_Data!$E$3-Annual_Data!$E$2)*D25/12</f>
        <v>68</v>
      </c>
      <c r="I25" s="13" t="n">
        <f aca="false">Annual_Data!$F$3*Y25</f>
        <v>2275.58797427711</v>
      </c>
      <c r="J25" s="13" t="n">
        <f aca="false">Annual_Data!$H$3*W25</f>
        <v>21168.2369247133</v>
      </c>
      <c r="K25" s="13" t="n">
        <f aca="false">Annual_Data!$I$3*X25</f>
        <v>10683.1103674494</v>
      </c>
      <c r="L25" s="12" t="n">
        <f aca="false">K25*0.0036</f>
        <v>38.4591973228177</v>
      </c>
      <c r="M25" s="14" t="n">
        <f aca="false">K25/(I25*E25/1000)</f>
        <v>151.440624296489</v>
      </c>
      <c r="N25" s="10" t="n">
        <f aca="false">LN(F25)</f>
        <v>0.985662327171209</v>
      </c>
      <c r="O25" s="10" t="n">
        <f aca="false">LN(G25)</f>
        <v>-2.33021233566065</v>
      </c>
      <c r="P25" s="10" t="n">
        <f aca="false">LN(I25)</f>
        <v>7.72999374822424</v>
      </c>
      <c r="Q25" s="10" t="n">
        <f aca="false">LN(J25)</f>
        <v>9.9602570788806</v>
      </c>
      <c r="R25" s="10" t="n">
        <f aca="false">LN(M25)</f>
        <v>5.02019362929411</v>
      </c>
      <c r="S25" s="3" t="n">
        <v>0</v>
      </c>
      <c r="T25" s="3" t="s">
        <v>47</v>
      </c>
      <c r="U25" s="15" t="n">
        <v>0.088144278272</v>
      </c>
      <c r="V25" s="15" t="n">
        <v>0.06948220709</v>
      </c>
      <c r="W25" s="15" t="n">
        <v>0.087692371432</v>
      </c>
      <c r="X25" s="15" t="n">
        <v>0.087784500583</v>
      </c>
      <c r="Y25" s="15" t="n">
        <v>1.010025732036</v>
      </c>
    </row>
    <row r="26" customFormat="false" ht="15" hidden="false" customHeight="true" outlineLevel="0" collapsed="false">
      <c r="A26" s="3" t="s">
        <v>13</v>
      </c>
      <c r="B26" s="9" t="n">
        <v>44927</v>
      </c>
      <c r="C26" s="3" t="n">
        <v>2023</v>
      </c>
      <c r="D26" s="3" t="n">
        <v>1</v>
      </c>
      <c r="E26" s="3" t="n">
        <v>31</v>
      </c>
      <c r="F26" s="10" t="n">
        <f aca="false">Annual_Data!$C$4*U26</f>
        <v>2.6233750138496</v>
      </c>
      <c r="G26" s="11" t="n">
        <f aca="false">Annual_Data!$D$4*V26</f>
        <v>0.093487335538</v>
      </c>
      <c r="H26" s="12" t="n">
        <f aca="false">Annual_Data!$E$3+(Annual_Data!$E$4-Annual_Data!$E$3)*D26/12</f>
        <v>69.65</v>
      </c>
      <c r="I26" s="13" t="n">
        <f aca="false">Annual_Data!$F$4*Y26</f>
        <v>2281.41842958426</v>
      </c>
      <c r="J26" s="13" t="n">
        <f aca="false">Annual_Data!$H$4*W26</f>
        <v>20929.7828029931</v>
      </c>
      <c r="K26" s="13" t="n">
        <f aca="false">Annual_Data!$I$4*X26</f>
        <v>10567.1887487284</v>
      </c>
      <c r="L26" s="12" t="n">
        <f aca="false">K26*0.0036</f>
        <v>38.0418794954223</v>
      </c>
      <c r="M26" s="14" t="n">
        <f aca="false">K26/(I26*E26/1000)</f>
        <v>149.414527379229</v>
      </c>
      <c r="N26" s="10" t="n">
        <f aca="false">LN(F26)</f>
        <v>0.964461662014755</v>
      </c>
      <c r="O26" s="10" t="n">
        <f aca="false">LN(G26)</f>
        <v>-2.36992930065296</v>
      </c>
      <c r="P26" s="10" t="n">
        <f aca="false">LN(I26)</f>
        <v>7.73255264675187</v>
      </c>
      <c r="Q26" s="10" t="n">
        <f aca="false">LN(J26)</f>
        <v>9.94892843808057</v>
      </c>
      <c r="R26" s="10" t="n">
        <f aca="false">LN(M26)</f>
        <v>5.00672450611884</v>
      </c>
      <c r="S26" s="3" t="n">
        <v>0</v>
      </c>
      <c r="T26" s="3" t="s">
        <v>47</v>
      </c>
      <c r="U26" s="15" t="n">
        <v>0.084352894336</v>
      </c>
      <c r="V26" s="15" t="n">
        <v>0.093487335538</v>
      </c>
      <c r="W26" s="15" t="n">
        <v>0.099603972793</v>
      </c>
      <c r="X26" s="15" t="n">
        <v>0.084693345746</v>
      </c>
      <c r="Y26" s="15" t="n">
        <v>0.986346056889</v>
      </c>
    </row>
    <row r="27" customFormat="false" ht="15" hidden="false" customHeight="true" outlineLevel="0" collapsed="false">
      <c r="A27" s="3" t="s">
        <v>13</v>
      </c>
      <c r="B27" s="9" t="n">
        <v>44958</v>
      </c>
      <c r="C27" s="3" t="n">
        <v>2023</v>
      </c>
      <c r="D27" s="3" t="n">
        <v>2</v>
      </c>
      <c r="E27" s="3" t="n">
        <v>28</v>
      </c>
      <c r="F27" s="10" t="n">
        <f aca="false">Annual_Data!$C$4*U27</f>
        <v>2.3985301813938</v>
      </c>
      <c r="G27" s="11" t="n">
        <f aca="false">Annual_Data!$D$4*V27</f>
        <v>0.08639447334</v>
      </c>
      <c r="H27" s="12" t="n">
        <f aca="false">Annual_Data!$E$3+(Annual_Data!$E$4-Annual_Data!$E$3)*D27/12</f>
        <v>71.3</v>
      </c>
      <c r="I27" s="13" t="n">
        <f aca="false">Annual_Data!$F$4*Y27</f>
        <v>2313.28706869211</v>
      </c>
      <c r="J27" s="13" t="n">
        <f aca="false">Annual_Data!$H$4*W27</f>
        <v>18106.0258421403</v>
      </c>
      <c r="K27" s="13" t="n">
        <f aca="false">Annual_Data!$I$4*X27</f>
        <v>9653.44915396719</v>
      </c>
      <c r="L27" s="12" t="n">
        <f aca="false">K27*0.0036</f>
        <v>34.7524169542819</v>
      </c>
      <c r="M27" s="14" t="n">
        <f aca="false">K27/(I27*E27/1000)</f>
        <v>149.037292378951</v>
      </c>
      <c r="N27" s="10" t="n">
        <f aca="false">LN(F27)</f>
        <v>0.874856125326214</v>
      </c>
      <c r="O27" s="10" t="n">
        <f aca="false">LN(G27)</f>
        <v>-2.44883157119026</v>
      </c>
      <c r="P27" s="10" t="n">
        <f aca="false">LN(I27)</f>
        <v>7.74642476550831</v>
      </c>
      <c r="Q27" s="10" t="n">
        <f aca="false">LN(J27)</f>
        <v>9.80400008130379</v>
      </c>
      <c r="R27" s="10" t="n">
        <f aca="false">LN(M27)</f>
        <v>5.00419655905203</v>
      </c>
      <c r="S27" s="3" t="n">
        <v>0</v>
      </c>
      <c r="T27" s="3" t="s">
        <v>47</v>
      </c>
      <c r="U27" s="15" t="n">
        <v>0.077123156958</v>
      </c>
      <c r="V27" s="15" t="n">
        <v>0.08639447334</v>
      </c>
      <c r="W27" s="15" t="n">
        <v>0.086165829925</v>
      </c>
      <c r="X27" s="15" t="n">
        <v>0.077369953947</v>
      </c>
      <c r="Y27" s="15" t="n">
        <v>1.000124110978</v>
      </c>
    </row>
    <row r="28" customFormat="false" ht="15" hidden="false" customHeight="true" outlineLevel="0" collapsed="false">
      <c r="A28" s="3" t="s">
        <v>13</v>
      </c>
      <c r="B28" s="9" t="n">
        <v>44986</v>
      </c>
      <c r="C28" s="3" t="n">
        <v>2023</v>
      </c>
      <c r="D28" s="3" t="n">
        <v>3</v>
      </c>
      <c r="E28" s="3" t="n">
        <v>31</v>
      </c>
      <c r="F28" s="10" t="n">
        <f aca="false">Annual_Data!$C$4*U28</f>
        <v>2.582121365617</v>
      </c>
      <c r="G28" s="11" t="n">
        <f aca="false">Annual_Data!$D$4*V28</f>
        <v>0.089175974159</v>
      </c>
      <c r="H28" s="12" t="n">
        <f aca="false">Annual_Data!$E$3+(Annual_Data!$E$4-Annual_Data!$E$3)*D28/12</f>
        <v>72.95</v>
      </c>
      <c r="I28" s="13" t="n">
        <f aca="false">Annual_Data!$F$4*Y28</f>
        <v>2282.84568827252</v>
      </c>
      <c r="J28" s="13" t="n">
        <f aca="false">Annual_Data!$H$4*W28</f>
        <v>19138.6940835921</v>
      </c>
      <c r="K28" s="13" t="n">
        <f aca="false">Annual_Data!$I$4*X28</f>
        <v>10479.7476828758</v>
      </c>
      <c r="L28" s="12" t="n">
        <f aca="false">K28*0.0036</f>
        <v>37.7270916583528</v>
      </c>
      <c r="M28" s="14" t="n">
        <f aca="false">K28/(I28*E28/1000)</f>
        <v>148.085513884548</v>
      </c>
      <c r="N28" s="10" t="n">
        <f aca="false">LN(F28)</f>
        <v>0.948611295818999</v>
      </c>
      <c r="O28" s="10" t="n">
        <f aca="false">LN(G28)</f>
        <v>-2.41714362367013</v>
      </c>
      <c r="P28" s="10" t="n">
        <f aca="false">LN(I28)</f>
        <v>7.73317805259953</v>
      </c>
      <c r="Q28" s="10" t="n">
        <f aca="false">LN(J28)</f>
        <v>9.85946743298181</v>
      </c>
      <c r="R28" s="10" t="n">
        <f aca="false">LN(M28)</f>
        <v>4.99778990342119</v>
      </c>
      <c r="S28" s="3" t="n">
        <v>0</v>
      </c>
      <c r="T28" s="3" t="s">
        <v>47</v>
      </c>
      <c r="U28" s="15" t="n">
        <v>0.08302641047</v>
      </c>
      <c r="V28" s="15" t="n">
        <v>0.089175974159</v>
      </c>
      <c r="W28" s="15" t="n">
        <v>0.091080255478</v>
      </c>
      <c r="X28" s="15" t="n">
        <v>0.083992527714</v>
      </c>
      <c r="Y28" s="15" t="n">
        <v>0.986963116417</v>
      </c>
    </row>
    <row r="29" customFormat="false" ht="15" hidden="false" customHeight="true" outlineLevel="0" collapsed="false">
      <c r="A29" s="3" t="s">
        <v>13</v>
      </c>
      <c r="B29" s="9" t="n">
        <v>45017</v>
      </c>
      <c r="C29" s="3" t="n">
        <v>2023</v>
      </c>
      <c r="D29" s="3" t="n">
        <v>4</v>
      </c>
      <c r="E29" s="3" t="n">
        <v>30</v>
      </c>
      <c r="F29" s="10" t="n">
        <f aca="false">Annual_Data!$C$4*U29</f>
        <v>2.4861499774695</v>
      </c>
      <c r="G29" s="11" t="n">
        <f aca="false">Annual_Data!$D$4*V29</f>
        <v>0.082849173725</v>
      </c>
      <c r="H29" s="12" t="n">
        <f aca="false">Annual_Data!$E$3+(Annual_Data!$E$4-Annual_Data!$E$3)*D29/12</f>
        <v>74.6</v>
      </c>
      <c r="I29" s="13" t="n">
        <f aca="false">Annual_Data!$F$4*Y29</f>
        <v>2310.37016503795</v>
      </c>
      <c r="J29" s="13" t="n">
        <f aca="false">Annual_Data!$H$4*W29</f>
        <v>17638.0173626045</v>
      </c>
      <c r="K29" s="13" t="n">
        <f aca="false">Annual_Data!$I$4*X29</f>
        <v>10044.0182677994</v>
      </c>
      <c r="L29" s="12" t="n">
        <f aca="false">K29*0.0036</f>
        <v>36.1584657640779</v>
      </c>
      <c r="M29" s="14" t="n">
        <f aca="false">K29/(I29*E29/1000)</f>
        <v>144.912107156278</v>
      </c>
      <c r="N29" s="10" t="n">
        <f aca="false">LN(F29)</f>
        <v>0.910735320098053</v>
      </c>
      <c r="O29" s="10" t="n">
        <f aca="false">LN(G29)</f>
        <v>-2.49073350830353</v>
      </c>
      <c r="P29" s="10" t="n">
        <f aca="false">LN(I29)</f>
        <v>7.74516303528322</v>
      </c>
      <c r="Q29" s="10" t="n">
        <f aca="false">LN(J29)</f>
        <v>9.77781192883388</v>
      </c>
      <c r="R29" s="10" t="n">
        <f aca="false">LN(M29)</f>
        <v>4.97612740108991</v>
      </c>
      <c r="S29" s="3" t="n">
        <v>0</v>
      </c>
      <c r="T29" s="3" t="s">
        <v>47</v>
      </c>
      <c r="U29" s="15" t="n">
        <v>0.079940513745</v>
      </c>
      <c r="V29" s="15" t="n">
        <v>0.082849173725</v>
      </c>
      <c r="W29" s="15" t="n">
        <v>0.083938596881</v>
      </c>
      <c r="X29" s="15" t="n">
        <v>0.080500266633</v>
      </c>
      <c r="Y29" s="15" t="n">
        <v>0.998863019904</v>
      </c>
    </row>
    <row r="30" customFormat="false" ht="15" hidden="false" customHeight="true" outlineLevel="0" collapsed="false">
      <c r="A30" s="3" t="s">
        <v>13</v>
      </c>
      <c r="B30" s="9" t="n">
        <v>45047</v>
      </c>
      <c r="C30" s="3" t="n">
        <v>2023</v>
      </c>
      <c r="D30" s="3" t="n">
        <v>5</v>
      </c>
      <c r="E30" s="3" t="n">
        <v>31</v>
      </c>
      <c r="F30" s="10" t="n">
        <f aca="false">Annual_Data!$C$4*U30</f>
        <v>2.4973899944191</v>
      </c>
      <c r="G30" s="11" t="n">
        <f aca="false">Annual_Data!$D$4*V30</f>
        <v>0.082515829905</v>
      </c>
      <c r="H30" s="12" t="n">
        <f aca="false">Annual_Data!$E$3+(Annual_Data!$E$4-Annual_Data!$E$3)*D30/12</f>
        <v>76.25</v>
      </c>
      <c r="I30" s="13" t="n">
        <f aca="false">Annual_Data!$F$4*Y30</f>
        <v>2291.59267718316</v>
      </c>
      <c r="J30" s="13" t="n">
        <f aca="false">Annual_Data!$H$4*W30</f>
        <v>17517.5600642038</v>
      </c>
      <c r="K30" s="13" t="n">
        <f aca="false">Annual_Data!$I$4*X30</f>
        <v>10129.9860113124</v>
      </c>
      <c r="L30" s="12" t="n">
        <f aca="false">K30*0.0036</f>
        <v>36.4679496407248</v>
      </c>
      <c r="M30" s="14" t="n">
        <f aca="false">K30/(I30*E30/1000)</f>
        <v>142.596782383714</v>
      </c>
      <c r="N30" s="10" t="n">
        <f aca="false">LN(F30)</f>
        <v>0.915246184291867</v>
      </c>
      <c r="O30" s="10" t="n">
        <f aca="false">LN(G30)</f>
        <v>-2.4947651264113</v>
      </c>
      <c r="P30" s="10" t="n">
        <f aca="false">LN(I30)</f>
        <v>7.73700234702537</v>
      </c>
      <c r="Q30" s="10" t="n">
        <f aca="false">LN(J30)</f>
        <v>9.77095908905022</v>
      </c>
      <c r="R30" s="10" t="n">
        <f aca="false">LN(M30)</f>
        <v>4.96002094379656</v>
      </c>
      <c r="S30" s="3" t="n">
        <v>0</v>
      </c>
      <c r="T30" s="3" t="s">
        <v>47</v>
      </c>
      <c r="U30" s="15" t="n">
        <v>0.080301929081</v>
      </c>
      <c r="V30" s="15" t="n">
        <v>0.082515829905</v>
      </c>
      <c r="W30" s="15" t="n">
        <v>0.083365345568</v>
      </c>
      <c r="X30" s="15" t="n">
        <v>0.081189276359</v>
      </c>
      <c r="Y30" s="15" t="n">
        <v>0.990744780451</v>
      </c>
    </row>
    <row r="31" customFormat="false" ht="15" hidden="false" customHeight="true" outlineLevel="0" collapsed="false">
      <c r="A31" s="3" t="s">
        <v>13</v>
      </c>
      <c r="B31" s="9" t="n">
        <v>45078</v>
      </c>
      <c r="C31" s="3" t="n">
        <v>2023</v>
      </c>
      <c r="D31" s="3" t="n">
        <v>6</v>
      </c>
      <c r="E31" s="3" t="n">
        <v>30</v>
      </c>
      <c r="F31" s="10" t="n">
        <f aca="false">Annual_Data!$C$4*U31</f>
        <v>2.5164256630127</v>
      </c>
      <c r="G31" s="11" t="n">
        <f aca="false">Annual_Data!$D$4*V31</f>
        <v>0.085891200996</v>
      </c>
      <c r="H31" s="12" t="n">
        <f aca="false">Annual_Data!$E$3+(Annual_Data!$E$4-Annual_Data!$E$3)*D31/12</f>
        <v>77.9</v>
      </c>
      <c r="I31" s="13" t="n">
        <f aca="false">Annual_Data!$F$4*Y31</f>
        <v>2304.19813759301</v>
      </c>
      <c r="J31" s="13" t="n">
        <f aca="false">Annual_Data!$H$4*W31</f>
        <v>17291.2361049339</v>
      </c>
      <c r="K31" s="13" t="n">
        <f aca="false">Annual_Data!$I$4*X31</f>
        <v>10118.8840478313</v>
      </c>
      <c r="L31" s="12" t="n">
        <f aca="false">K31*0.0036</f>
        <v>36.4279825721928</v>
      </c>
      <c r="M31" s="14" t="n">
        <f aca="false">K31/(I31*E31/1000)</f>
        <v>146.383303338685</v>
      </c>
      <c r="N31" s="10" t="n">
        <f aca="false">LN(F31)</f>
        <v>0.92283950696594</v>
      </c>
      <c r="O31" s="10" t="n">
        <f aca="false">LN(G31)</f>
        <v>-2.45467388834682</v>
      </c>
      <c r="P31" s="10" t="n">
        <f aca="false">LN(I31)</f>
        <v>7.74248801533742</v>
      </c>
      <c r="Q31" s="10" t="n">
        <f aca="false">LN(J31)</f>
        <v>9.75795506859925</v>
      </c>
      <c r="R31" s="10" t="n">
        <f aca="false">LN(M31)</f>
        <v>4.98622854679019</v>
      </c>
      <c r="S31" s="3" t="n">
        <v>0</v>
      </c>
      <c r="T31" s="3" t="s">
        <v>47</v>
      </c>
      <c r="U31" s="15" t="n">
        <v>0.080914008457</v>
      </c>
      <c r="V31" s="15" t="n">
        <v>0.085891200996</v>
      </c>
      <c r="W31" s="15" t="n">
        <v>0.082288279184</v>
      </c>
      <c r="X31" s="15" t="n">
        <v>0.081100296929</v>
      </c>
      <c r="Y31" s="15" t="n">
        <v>0.996194612016</v>
      </c>
    </row>
    <row r="32" customFormat="false" ht="15" hidden="false" customHeight="true" outlineLevel="0" collapsed="false">
      <c r="A32" s="3" t="s">
        <v>13</v>
      </c>
      <c r="B32" s="9" t="n">
        <v>45108</v>
      </c>
      <c r="C32" s="3" t="n">
        <v>2023</v>
      </c>
      <c r="D32" s="3" t="n">
        <v>7</v>
      </c>
      <c r="E32" s="3" t="n">
        <v>31</v>
      </c>
      <c r="F32" s="10" t="n">
        <f aca="false">Annual_Data!$C$4*U32</f>
        <v>2.654569567304</v>
      </c>
      <c r="G32" s="11" t="n">
        <f aca="false">Annual_Data!$D$4*V32</f>
        <v>0.08593770085</v>
      </c>
      <c r="H32" s="12" t="n">
        <f aca="false">Annual_Data!$E$3+(Annual_Data!$E$4-Annual_Data!$E$3)*D32/12</f>
        <v>79.55</v>
      </c>
      <c r="I32" s="13" t="n">
        <f aca="false">Annual_Data!$F$4*Y32</f>
        <v>2298.2795429305</v>
      </c>
      <c r="J32" s="13" t="n">
        <f aca="false">Annual_Data!$H$4*W32</f>
        <v>17097.3240173428</v>
      </c>
      <c r="K32" s="13" t="n">
        <f aca="false">Annual_Data!$I$4*X32</f>
        <v>10633.2109699046</v>
      </c>
      <c r="L32" s="12" t="n">
        <f aca="false">K32*0.0036</f>
        <v>38.2795594916565</v>
      </c>
      <c r="M32" s="14" t="n">
        <f aca="false">K32/(I32*E32/1000)</f>
        <v>149.245032674933</v>
      </c>
      <c r="N32" s="10" t="n">
        <f aca="false">LN(F32)</f>
        <v>0.976282520008035</v>
      </c>
      <c r="O32" s="10" t="n">
        <f aca="false">LN(G32)</f>
        <v>-2.45413265396034</v>
      </c>
      <c r="P32" s="10" t="n">
        <f aca="false">LN(I32)</f>
        <v>7.73991609719426</v>
      </c>
      <c r="Q32" s="10" t="n">
        <f aca="false">LN(J32)</f>
        <v>9.74667724003101</v>
      </c>
      <c r="R32" s="10" t="n">
        <f aca="false">LN(M32)</f>
        <v>5.00558946980886</v>
      </c>
      <c r="S32" s="3" t="n">
        <v>0</v>
      </c>
      <c r="T32" s="3" t="s">
        <v>47</v>
      </c>
      <c r="U32" s="15" t="n">
        <v>0.08535593464</v>
      </c>
      <c r="V32" s="15" t="n">
        <v>0.08593770085</v>
      </c>
      <c r="W32" s="15" t="n">
        <v>0.08136545956</v>
      </c>
      <c r="X32" s="15" t="n">
        <v>0.085222497154</v>
      </c>
      <c r="Y32" s="15" t="n">
        <v>0.993635772992</v>
      </c>
    </row>
    <row r="33" customFormat="false" ht="15" hidden="false" customHeight="true" outlineLevel="0" collapsed="false">
      <c r="A33" s="3" t="s">
        <v>13</v>
      </c>
      <c r="B33" s="9" t="n">
        <v>45139</v>
      </c>
      <c r="C33" s="3" t="n">
        <v>2023</v>
      </c>
      <c r="D33" s="3" t="n">
        <v>8</v>
      </c>
      <c r="E33" s="3" t="n">
        <v>31</v>
      </c>
      <c r="F33" s="10" t="n">
        <f aca="false">Annual_Data!$C$4*U33</f>
        <v>2.6912228101433</v>
      </c>
      <c r="G33" s="11" t="n">
        <f aca="false">Annual_Data!$D$4*V33</f>
        <v>0.082423396389</v>
      </c>
      <c r="H33" s="12" t="n">
        <f aca="false">Annual_Data!$E$3+(Annual_Data!$E$4-Annual_Data!$E$3)*D33/12</f>
        <v>81.2</v>
      </c>
      <c r="I33" s="13" t="n">
        <f aca="false">Annual_Data!$F$4*Y33</f>
        <v>2302.88974587603</v>
      </c>
      <c r="J33" s="13" t="n">
        <f aca="false">Annual_Data!$H$4*W33</f>
        <v>16673.4403525996</v>
      </c>
      <c r="K33" s="13" t="n">
        <f aca="false">Annual_Data!$I$4*X33</f>
        <v>10787.1244562896</v>
      </c>
      <c r="L33" s="12" t="n">
        <f aca="false">K33*0.0036</f>
        <v>38.8336480426424</v>
      </c>
      <c r="M33" s="14" t="n">
        <f aca="false">K33/(I33*E33/1000)</f>
        <v>151.102221579493</v>
      </c>
      <c r="N33" s="10" t="n">
        <f aca="false">LN(F33)</f>
        <v>0.989995666586709</v>
      </c>
      <c r="O33" s="10" t="n">
        <f aca="false">LN(G33)</f>
        <v>-2.49588594560942</v>
      </c>
      <c r="P33" s="10" t="n">
        <f aca="false">LN(I33)</f>
        <v>7.74192002454356</v>
      </c>
      <c r="Q33" s="10" t="n">
        <f aca="false">LN(J33)</f>
        <v>9.72157233433144</v>
      </c>
      <c r="R33" s="10" t="n">
        <f aca="false">LN(M33)</f>
        <v>5.01795657188069</v>
      </c>
      <c r="S33" s="3" t="n">
        <v>0</v>
      </c>
      <c r="T33" s="3" t="s">
        <v>47</v>
      </c>
      <c r="U33" s="15" t="n">
        <v>0.086534495503</v>
      </c>
      <c r="V33" s="15" t="n">
        <v>0.082423396389</v>
      </c>
      <c r="W33" s="15" t="n">
        <v>0.079348214689</v>
      </c>
      <c r="X33" s="15" t="n">
        <v>0.086456074828</v>
      </c>
      <c r="Y33" s="15" t="n">
        <v>0.99562894331</v>
      </c>
    </row>
    <row r="34" customFormat="false" ht="15" hidden="false" customHeight="true" outlineLevel="0" collapsed="false">
      <c r="A34" s="3" t="s">
        <v>13</v>
      </c>
      <c r="B34" s="9" t="n">
        <v>45170</v>
      </c>
      <c r="C34" s="3" t="n">
        <v>2023</v>
      </c>
      <c r="D34" s="3" t="n">
        <v>9</v>
      </c>
      <c r="E34" s="3" t="n">
        <v>30</v>
      </c>
      <c r="F34" s="10" t="n">
        <f aca="false">Annual_Data!$C$4*U34</f>
        <v>2.575311897772</v>
      </c>
      <c r="G34" s="11" t="n">
        <f aca="false">Annual_Data!$D$4*V34</f>
        <v>0.080803331777</v>
      </c>
      <c r="H34" s="12" t="n">
        <f aca="false">Annual_Data!$E$3+(Annual_Data!$E$4-Annual_Data!$E$3)*D34/12</f>
        <v>82.85</v>
      </c>
      <c r="I34" s="13" t="n">
        <f aca="false">Annual_Data!$F$4*Y34</f>
        <v>2320.80699793947</v>
      </c>
      <c r="J34" s="13" t="n">
        <f aca="false">Annual_Data!$H$4*W34</f>
        <v>16355.4781813086</v>
      </c>
      <c r="K34" s="13" t="n">
        <f aca="false">Annual_Data!$I$4*X34</f>
        <v>10195.5204219645</v>
      </c>
      <c r="L34" s="12" t="n">
        <f aca="false">K34*0.0036</f>
        <v>36.7038735190723</v>
      </c>
      <c r="M34" s="14" t="n">
        <f aca="false">K34/(I34*E34/1000)</f>
        <v>146.436425361474</v>
      </c>
      <c r="N34" s="10" t="n">
        <f aca="false">LN(F34)</f>
        <v>0.945970652128967</v>
      </c>
      <c r="O34" s="10" t="n">
        <f aca="false">LN(G34)</f>
        <v>-2.51573707944136</v>
      </c>
      <c r="P34" s="10" t="n">
        <f aca="false">LN(I34)</f>
        <v>7.74967024811611</v>
      </c>
      <c r="Q34" s="10" t="n">
        <f aca="false">LN(J34)</f>
        <v>9.70231817716712</v>
      </c>
      <c r="R34" s="10" t="n">
        <f aca="false">LN(M34)</f>
        <v>4.98659137769375</v>
      </c>
      <c r="S34" s="3" t="n">
        <v>0</v>
      </c>
      <c r="T34" s="3" t="s">
        <v>47</v>
      </c>
      <c r="U34" s="15" t="n">
        <v>0.08280745652</v>
      </c>
      <c r="V34" s="15" t="n">
        <v>0.080803331777</v>
      </c>
      <c r="W34" s="15" t="n">
        <v>0.077835045835</v>
      </c>
      <c r="X34" s="15" t="n">
        <v>0.081714518089</v>
      </c>
      <c r="Y34" s="15" t="n">
        <v>1.003375269321</v>
      </c>
    </row>
    <row r="35" customFormat="false" ht="15" hidden="false" customHeight="true" outlineLevel="0" collapsed="false">
      <c r="A35" s="3" t="s">
        <v>13</v>
      </c>
      <c r="B35" s="9" t="n">
        <v>45200</v>
      </c>
      <c r="C35" s="3" t="n">
        <v>2023</v>
      </c>
      <c r="D35" s="3" t="n">
        <v>10</v>
      </c>
      <c r="E35" s="3" t="n">
        <v>31</v>
      </c>
      <c r="F35" s="10" t="n">
        <f aca="false">Annual_Data!$C$4*U35</f>
        <v>2.6393490674189</v>
      </c>
      <c r="G35" s="11" t="n">
        <f aca="false">Annual_Data!$D$4*V35</f>
        <v>0.075091475782</v>
      </c>
      <c r="H35" s="12" t="n">
        <f aca="false">Annual_Data!$E$3+(Annual_Data!$E$4-Annual_Data!$E$3)*D35/12</f>
        <v>84.5</v>
      </c>
      <c r="I35" s="13" t="n">
        <f aca="false">Annual_Data!$F$4*Y35</f>
        <v>2364.15046094207</v>
      </c>
      <c r="J35" s="13" t="n">
        <f aca="false">Annual_Data!$H$4*W35</f>
        <v>16924.3925419945</v>
      </c>
      <c r="K35" s="13" t="n">
        <f aca="false">Annual_Data!$I$4*X35</f>
        <v>10532.6405708077</v>
      </c>
      <c r="L35" s="12" t="n">
        <f aca="false">K35*0.0036</f>
        <v>37.9175060549078</v>
      </c>
      <c r="M35" s="14" t="n">
        <f aca="false">K35/(I35*E35/1000)</f>
        <v>143.714456702948</v>
      </c>
      <c r="N35" s="10" t="n">
        <f aca="false">LN(F35)</f>
        <v>0.970532321384357</v>
      </c>
      <c r="O35" s="10" t="n">
        <f aca="false">LN(G35)</f>
        <v>-2.58904823155435</v>
      </c>
      <c r="P35" s="10" t="n">
        <f aca="false">LN(I35)</f>
        <v>7.76817402326123</v>
      </c>
      <c r="Q35" s="10" t="n">
        <f aca="false">LN(J35)</f>
        <v>9.73651120596914</v>
      </c>
      <c r="R35" s="10" t="n">
        <f aca="false">LN(M35)</f>
        <v>4.96782839138561</v>
      </c>
      <c r="S35" s="3" t="n">
        <v>0</v>
      </c>
      <c r="T35" s="3" t="s">
        <v>47</v>
      </c>
      <c r="U35" s="15" t="n">
        <v>0.084866529499</v>
      </c>
      <c r="V35" s="15" t="n">
        <v>0.075091475782</v>
      </c>
      <c r="W35" s="15" t="n">
        <v>0.080542485804</v>
      </c>
      <c r="X35" s="15" t="n">
        <v>0.084416450836</v>
      </c>
      <c r="Y35" s="15" t="n">
        <v>1.022114336767</v>
      </c>
    </row>
    <row r="36" customFormat="false" ht="15" hidden="false" customHeight="true" outlineLevel="0" collapsed="false">
      <c r="A36" s="3" t="s">
        <v>13</v>
      </c>
      <c r="B36" s="9" t="n">
        <v>45231</v>
      </c>
      <c r="C36" s="3" t="n">
        <v>2023</v>
      </c>
      <c r="D36" s="3" t="n">
        <v>11</v>
      </c>
      <c r="E36" s="3" t="n">
        <v>30</v>
      </c>
      <c r="F36" s="10" t="n">
        <f aca="false">Annual_Data!$C$4*U36</f>
        <v>2.6279066474397</v>
      </c>
      <c r="G36" s="11" t="n">
        <f aca="false">Annual_Data!$D$4*V36</f>
        <v>0.073552370033</v>
      </c>
      <c r="H36" s="12" t="n">
        <f aca="false">Annual_Data!$E$3+(Annual_Data!$E$4-Annual_Data!$E$3)*D36/12</f>
        <v>86.15</v>
      </c>
      <c r="I36" s="13" t="n">
        <f aca="false">Annual_Data!$F$4*Y36</f>
        <v>2333.90162284206</v>
      </c>
      <c r="J36" s="13" t="n">
        <f aca="false">Annual_Data!$H$4*W36</f>
        <v>16149.3571206676</v>
      </c>
      <c r="K36" s="13" t="n">
        <f aca="false">Annual_Data!$I$4*X36</f>
        <v>10502.0062698282</v>
      </c>
      <c r="L36" s="12" t="n">
        <f aca="false">K36*0.0036</f>
        <v>37.8072225713815</v>
      </c>
      <c r="M36" s="14" t="n">
        <f aca="false">K36/(I36*E36/1000)</f>
        <v>149.992130017311</v>
      </c>
      <c r="N36" s="10" t="n">
        <f aca="false">LN(F36)</f>
        <v>0.966187577708214</v>
      </c>
      <c r="O36" s="10" t="n">
        <f aca="false">LN(G36)</f>
        <v>-2.60975760902761</v>
      </c>
      <c r="P36" s="10" t="n">
        <f aca="false">LN(I36)</f>
        <v>7.75529666236181</v>
      </c>
      <c r="Q36" s="10" t="n">
        <f aca="false">LN(J36)</f>
        <v>9.68963552108868</v>
      </c>
      <c r="R36" s="10" t="n">
        <f aca="false">LN(M36)</f>
        <v>5.01058282616858</v>
      </c>
      <c r="S36" s="3" t="n">
        <v>0</v>
      </c>
      <c r="T36" s="3" t="s">
        <v>47</v>
      </c>
      <c r="U36" s="15" t="n">
        <v>0.084498606027</v>
      </c>
      <c r="V36" s="15" t="n">
        <v>0.073552370033</v>
      </c>
      <c r="W36" s="15" t="n">
        <v>0.076854124212</v>
      </c>
      <c r="X36" s="15" t="n">
        <v>0.08417092466</v>
      </c>
      <c r="Y36" s="15" t="n">
        <v>1.009036585751</v>
      </c>
    </row>
    <row r="37" customFormat="false" ht="15" hidden="false" customHeight="true" outlineLevel="0" collapsed="false">
      <c r="A37" s="3" t="s">
        <v>13</v>
      </c>
      <c r="B37" s="9" t="n">
        <v>45261</v>
      </c>
      <c r="C37" s="3" t="n">
        <v>2023</v>
      </c>
      <c r="D37" s="3" t="n">
        <v>12</v>
      </c>
      <c r="E37" s="3" t="n">
        <v>31</v>
      </c>
      <c r="F37" s="10" t="n">
        <f aca="false">Annual_Data!$C$4*U37</f>
        <v>2.8076478141293</v>
      </c>
      <c r="G37" s="11" t="n">
        <f aca="false">Annual_Data!$D$4*V37</f>
        <v>0.081877737507</v>
      </c>
      <c r="H37" s="12" t="n">
        <f aca="false">Annual_Data!$E$3+(Annual_Data!$E$4-Annual_Data!$E$3)*D37/12</f>
        <v>87.8</v>
      </c>
      <c r="I37" s="13" t="n">
        <f aca="false">Annual_Data!$F$4*Y37</f>
        <v>2352.84456405788</v>
      </c>
      <c r="J37" s="13" t="n">
        <f aca="false">Annual_Data!$H$4*W37</f>
        <v>16308.691525199</v>
      </c>
      <c r="K37" s="13" t="n">
        <f aca="false">Annual_Data!$I$4*X37</f>
        <v>11126.2233986909</v>
      </c>
      <c r="L37" s="12" t="n">
        <f aca="false">K37*0.0036</f>
        <v>40.0544042352871</v>
      </c>
      <c r="M37" s="14" t="n">
        <f aca="false">K37/(I37*E37/1000)</f>
        <v>152.543197157415</v>
      </c>
      <c r="N37" s="10" t="n">
        <f aca="false">LN(F37)</f>
        <v>1.0323470559789</v>
      </c>
      <c r="O37" s="10" t="n">
        <f aca="false">LN(G37)</f>
        <v>-2.50252815038566</v>
      </c>
      <c r="P37" s="10" t="n">
        <f aca="false">LN(I37)</f>
        <v>7.76338032792146</v>
      </c>
      <c r="Q37" s="10" t="n">
        <f aca="false">LN(J37)</f>
        <v>9.69945346708715</v>
      </c>
      <c r="R37" s="10" t="n">
        <f aca="false">LN(M37)</f>
        <v>5.02744781598554</v>
      </c>
      <c r="S37" s="3" t="n">
        <v>0</v>
      </c>
      <c r="T37" s="3" t="s">
        <v>47</v>
      </c>
      <c r="U37" s="15" t="n">
        <v>0.090278064763</v>
      </c>
      <c r="V37" s="15" t="n">
        <v>0.081877737507</v>
      </c>
      <c r="W37" s="15" t="n">
        <v>0.077612390069</v>
      </c>
      <c r="X37" s="15" t="n">
        <v>0.089173867105</v>
      </c>
      <c r="Y37" s="15" t="n">
        <v>1.017226357137</v>
      </c>
    </row>
    <row r="38" customFormat="false" ht="15" hidden="false" customHeight="true" outlineLevel="0" collapsed="false">
      <c r="A38" s="3" t="s">
        <v>13</v>
      </c>
      <c r="B38" s="9" t="n">
        <v>45292</v>
      </c>
      <c r="C38" s="3" t="n">
        <v>2024</v>
      </c>
      <c r="D38" s="3" t="n">
        <v>1</v>
      </c>
      <c r="E38" s="3" t="n">
        <v>31</v>
      </c>
      <c r="F38" s="10" t="n">
        <f aca="false">Annual_Data!$C$5*U38</f>
        <v>2.7687906112184</v>
      </c>
      <c r="G38" s="11" t="n">
        <f aca="false">Annual_Data!$D$5*V38</f>
        <v>0.0794132271464</v>
      </c>
      <c r="H38" s="12" t="n">
        <f aca="false">Annual_Data!$E$4+(Annual_Data!$E$5-Annual_Data!$E$4)*D38/12</f>
        <v>88.8583333333333</v>
      </c>
      <c r="I38" s="13" t="n">
        <f aca="false">Annual_Data!$F$5*Y38</f>
        <v>2335.56900342926</v>
      </c>
      <c r="J38" s="13" t="n">
        <f aca="false">Annual_Data!$H$5*W38</f>
        <v>16158.9165139295</v>
      </c>
      <c r="K38" s="13" t="n">
        <f aca="false">Annual_Data!$I$5*X38</f>
        <v>10975.5187166222</v>
      </c>
      <c r="L38" s="12" t="n">
        <f aca="false">K38*0.0036</f>
        <v>39.5118673798401</v>
      </c>
      <c r="M38" s="14" t="n">
        <f aca="false">K38/(I38*E38/1000)</f>
        <v>151.590036662989</v>
      </c>
      <c r="N38" s="10" t="n">
        <f aca="false">LN(F38)</f>
        <v>1.01841062241242</v>
      </c>
      <c r="O38" s="10" t="n">
        <f aca="false">LN(G38)</f>
        <v>-2.53309033585782</v>
      </c>
      <c r="P38" s="10" t="n">
        <f aca="false">LN(I38)</f>
        <v>7.75601082496889</v>
      </c>
      <c r="Q38" s="10" t="n">
        <f aca="false">LN(J38)</f>
        <v>9.69022728242196</v>
      </c>
      <c r="R38" s="10" t="n">
        <f aca="false">LN(M38)</f>
        <v>5.02117974982815</v>
      </c>
      <c r="S38" s="3" t="n">
        <v>0</v>
      </c>
      <c r="T38" s="3" t="s">
        <v>47</v>
      </c>
      <c r="U38" s="15" t="n">
        <v>0.084414347903</v>
      </c>
      <c r="V38" s="15" t="n">
        <v>0.099266533933</v>
      </c>
      <c r="W38" s="15" t="n">
        <v>0.085413307154</v>
      </c>
      <c r="X38" s="15" t="n">
        <v>0.08451027717</v>
      </c>
      <c r="Y38" s="15" t="n">
        <v>0.990487278808</v>
      </c>
    </row>
    <row r="39" customFormat="false" ht="15" hidden="false" customHeight="true" outlineLevel="0" collapsed="false">
      <c r="A39" s="3" t="s">
        <v>13</v>
      </c>
      <c r="B39" s="9" t="n">
        <v>45323</v>
      </c>
      <c r="C39" s="3" t="n">
        <v>2024</v>
      </c>
      <c r="D39" s="3" t="n">
        <v>2</v>
      </c>
      <c r="E39" s="3" t="n">
        <v>29</v>
      </c>
      <c r="F39" s="10" t="n">
        <f aca="false">Annual_Data!$C$5*U39</f>
        <v>2.57779694666</v>
      </c>
      <c r="G39" s="11" t="n">
        <f aca="false">Annual_Data!$D$5*V39</f>
        <v>0.070448809968</v>
      </c>
      <c r="H39" s="12" t="n">
        <f aca="false">Annual_Data!$E$4+(Annual_Data!$E$5-Annual_Data!$E$4)*D39/12</f>
        <v>89.9166666666667</v>
      </c>
      <c r="I39" s="13" t="n">
        <f aca="false">Annual_Data!$F$5*Y39</f>
        <v>2332.77640626409</v>
      </c>
      <c r="J39" s="13" t="n">
        <f aca="false">Annual_Data!$H$5*W39</f>
        <v>15072.0714668035</v>
      </c>
      <c r="K39" s="13" t="n">
        <f aca="false">Annual_Data!$I$5*X39</f>
        <v>10165.4906871918</v>
      </c>
      <c r="L39" s="12" t="n">
        <f aca="false">K39*0.0036</f>
        <v>36.5957664738904</v>
      </c>
      <c r="M39" s="14" t="n">
        <f aca="false">K39/(I39*E39/1000)</f>
        <v>150.264792067525</v>
      </c>
      <c r="N39" s="10" t="n">
        <f aca="false">LN(F39)</f>
        <v>0.946935137512707</v>
      </c>
      <c r="O39" s="10" t="n">
        <f aca="false">LN(G39)</f>
        <v>-2.65286893264669</v>
      </c>
      <c r="P39" s="10" t="n">
        <f aca="false">LN(I39)</f>
        <v>7.75481442785034</v>
      </c>
      <c r="Q39" s="10" t="n">
        <f aca="false">LN(J39)</f>
        <v>9.62059873849834</v>
      </c>
      <c r="R39" s="10" t="n">
        <f aca="false">LN(M39)</f>
        <v>5.01239901827013</v>
      </c>
      <c r="S39" s="3" t="n">
        <v>0</v>
      </c>
      <c r="T39" s="3" t="s">
        <v>47</v>
      </c>
      <c r="U39" s="15" t="n">
        <v>0.078591370325</v>
      </c>
      <c r="V39" s="15" t="n">
        <v>0.08806101246</v>
      </c>
      <c r="W39" s="15" t="n">
        <v>0.079668427554</v>
      </c>
      <c r="X39" s="15" t="n">
        <v>0.078273151158</v>
      </c>
      <c r="Y39" s="15" t="n">
        <v>0.989302971274</v>
      </c>
    </row>
    <row r="40" customFormat="false" ht="15" hidden="false" customHeight="true" outlineLevel="0" collapsed="false">
      <c r="A40" s="3" t="s">
        <v>13</v>
      </c>
      <c r="B40" s="9" t="n">
        <v>45352</v>
      </c>
      <c r="C40" s="3" t="n">
        <v>2024</v>
      </c>
      <c r="D40" s="3" t="n">
        <v>3</v>
      </c>
      <c r="E40" s="3" t="n">
        <v>31</v>
      </c>
      <c r="F40" s="10" t="n">
        <f aca="false">Annual_Data!$C$5*U40</f>
        <v>2.726089185248</v>
      </c>
      <c r="G40" s="11" t="n">
        <f aca="false">Annual_Data!$D$5*V40</f>
        <v>0.072370343796</v>
      </c>
      <c r="H40" s="12" t="n">
        <f aca="false">Annual_Data!$E$4+(Annual_Data!$E$5-Annual_Data!$E$4)*D40/12</f>
        <v>90.975</v>
      </c>
      <c r="I40" s="13" t="n">
        <f aca="false">Annual_Data!$F$5*Y40</f>
        <v>2355.70609477165</v>
      </c>
      <c r="J40" s="13" t="n">
        <f aca="false">Annual_Data!$H$5*W40</f>
        <v>16198.8960416219</v>
      </c>
      <c r="K40" s="13" t="n">
        <f aca="false">Annual_Data!$I$5*X40</f>
        <v>10825.1982935978</v>
      </c>
      <c r="L40" s="12" t="n">
        <f aca="false">K40*0.0036</f>
        <v>38.9707138569519</v>
      </c>
      <c r="M40" s="14" t="n">
        <f aca="false">K40/(I40*E40/1000)</f>
        <v>148.235786174598</v>
      </c>
      <c r="N40" s="10" t="n">
        <f aca="false">LN(F40)</f>
        <v>1.00286804926448</v>
      </c>
      <c r="O40" s="10" t="n">
        <f aca="false">LN(G40)</f>
        <v>-2.6259586795834</v>
      </c>
      <c r="P40" s="10" t="n">
        <f aca="false">LN(I40)</f>
        <v>7.76459578943962</v>
      </c>
      <c r="Q40" s="10" t="n">
        <f aca="false">LN(J40)</f>
        <v>9.69269837331956</v>
      </c>
      <c r="R40" s="10" t="n">
        <f aca="false">LN(M40)</f>
        <v>4.99880415587555</v>
      </c>
      <c r="S40" s="3" t="n">
        <v>0</v>
      </c>
      <c r="T40" s="3" t="s">
        <v>47</v>
      </c>
      <c r="U40" s="15" t="n">
        <v>0.08311247516</v>
      </c>
      <c r="V40" s="15" t="n">
        <v>0.090462929745</v>
      </c>
      <c r="W40" s="15" t="n">
        <v>0.085624632194</v>
      </c>
      <c r="X40" s="15" t="n">
        <v>0.08335282658</v>
      </c>
      <c r="Y40" s="15" t="n">
        <v>0.999027181837</v>
      </c>
    </row>
    <row r="41" customFormat="false" ht="15" hidden="false" customHeight="true" outlineLevel="0" collapsed="false">
      <c r="A41" s="3" t="s">
        <v>13</v>
      </c>
      <c r="B41" s="9" t="n">
        <v>45383</v>
      </c>
      <c r="C41" s="3" t="n">
        <v>2024</v>
      </c>
      <c r="D41" s="3" t="n">
        <v>4</v>
      </c>
      <c r="E41" s="3" t="n">
        <v>30</v>
      </c>
      <c r="F41" s="10" t="n">
        <f aca="false">Annual_Data!$C$5*U41</f>
        <v>2.5896166251656</v>
      </c>
      <c r="G41" s="11" t="n">
        <f aca="false">Annual_Data!$D$5*V41</f>
        <v>0.0636671863008</v>
      </c>
      <c r="H41" s="12" t="n">
        <f aca="false">Annual_Data!$E$4+(Annual_Data!$E$5-Annual_Data!$E$4)*D41/12</f>
        <v>92.0333333333333</v>
      </c>
      <c r="I41" s="13" t="n">
        <f aca="false">Annual_Data!$F$5*Y41</f>
        <v>2360.168237592</v>
      </c>
      <c r="J41" s="13" t="n">
        <f aca="false">Annual_Data!$H$5*W41</f>
        <v>15300.5915531984</v>
      </c>
      <c r="K41" s="13" t="n">
        <f aca="false">Annual_Data!$I$5*X41</f>
        <v>10401.9380196467</v>
      </c>
      <c r="L41" s="12" t="n">
        <f aca="false">K41*0.0036</f>
        <v>37.446976870728</v>
      </c>
      <c r="M41" s="14" t="n">
        <f aca="false">K41/(I41*E41/1000)</f>
        <v>146.909555767649</v>
      </c>
      <c r="N41" s="10" t="n">
        <f aca="false">LN(F41)</f>
        <v>0.951509843583648</v>
      </c>
      <c r="O41" s="10" t="n">
        <f aca="false">LN(G41)</f>
        <v>-2.75408597784425</v>
      </c>
      <c r="P41" s="10" t="n">
        <f aca="false">LN(I41)</f>
        <v>7.7664881825941</v>
      </c>
      <c r="Q41" s="10" t="n">
        <f aca="false">LN(J41)</f>
        <v>9.63564677024085</v>
      </c>
      <c r="R41" s="10" t="n">
        <f aca="false">LN(M41)</f>
        <v>4.98981713053765</v>
      </c>
      <c r="S41" s="3" t="n">
        <v>0</v>
      </c>
      <c r="T41" s="3" t="s">
        <v>47</v>
      </c>
      <c r="U41" s="15" t="n">
        <v>0.078951726377</v>
      </c>
      <c r="V41" s="15" t="n">
        <v>0.079583982876</v>
      </c>
      <c r="W41" s="15" t="n">
        <v>0.080876346186</v>
      </c>
      <c r="X41" s="15" t="n">
        <v>0.080093769401</v>
      </c>
      <c r="Y41" s="15" t="n">
        <v>1.000919524</v>
      </c>
    </row>
    <row r="42" customFormat="false" ht="15" hidden="false" customHeight="true" outlineLevel="0" collapsed="false">
      <c r="A42" s="3" t="s">
        <v>13</v>
      </c>
      <c r="B42" s="9" t="n">
        <v>45413</v>
      </c>
      <c r="C42" s="3" t="n">
        <v>2024</v>
      </c>
      <c r="D42" s="3" t="n">
        <v>5</v>
      </c>
      <c r="E42" s="3" t="n">
        <v>31</v>
      </c>
      <c r="F42" s="10" t="n">
        <f aca="false">Annual_Data!$C$5*U42</f>
        <v>2.6905513905352</v>
      </c>
      <c r="G42" s="11" t="n">
        <f aca="false">Annual_Data!$D$5*V42</f>
        <v>0.0676813570992</v>
      </c>
      <c r="H42" s="12" t="n">
        <f aca="false">Annual_Data!$E$4+(Annual_Data!$E$5-Annual_Data!$E$4)*D42/12</f>
        <v>93.0916666666667</v>
      </c>
      <c r="I42" s="13" t="n">
        <f aca="false">Annual_Data!$F$5*Y42</f>
        <v>2351.54492673881</v>
      </c>
      <c r="J42" s="13" t="n">
        <f aca="false">Annual_Data!$H$5*W42</f>
        <v>16355.1034955849</v>
      </c>
      <c r="K42" s="13" t="n">
        <f aca="false">Annual_Data!$I$5*X42</f>
        <v>10628.4459730025</v>
      </c>
      <c r="L42" s="12" t="n">
        <f aca="false">K42*0.0036</f>
        <v>38.2624055028092</v>
      </c>
      <c r="M42" s="14" t="n">
        <f aca="false">K42/(I42*E42/1000)</f>
        <v>145.799083829874</v>
      </c>
      <c r="N42" s="10" t="n">
        <f aca="false">LN(F42)</f>
        <v>0.989746150502776</v>
      </c>
      <c r="O42" s="10" t="n">
        <f aca="false">LN(G42)</f>
        <v>-2.69294451218307</v>
      </c>
      <c r="P42" s="10" t="n">
        <f aca="false">LN(I42)</f>
        <v>7.76282780676875</v>
      </c>
      <c r="Q42" s="10" t="n">
        <f aca="false">LN(J42)</f>
        <v>9.70229526802246</v>
      </c>
      <c r="R42" s="10" t="n">
        <f aca="false">LN(M42)</f>
        <v>4.9822295358091</v>
      </c>
      <c r="S42" s="3" t="n">
        <v>0</v>
      </c>
      <c r="T42" s="3" t="s">
        <v>47</v>
      </c>
      <c r="U42" s="15" t="n">
        <v>0.082029005809</v>
      </c>
      <c r="V42" s="15" t="n">
        <v>0.084601696374</v>
      </c>
      <c r="W42" s="15" t="n">
        <v>0.086450318448</v>
      </c>
      <c r="X42" s="15" t="n">
        <v>0.081837855527</v>
      </c>
      <c r="Y42" s="15" t="n">
        <v>0.997262479533</v>
      </c>
    </row>
    <row r="43" customFormat="false" ht="15" hidden="false" customHeight="true" outlineLevel="0" collapsed="false">
      <c r="A43" s="3" t="s">
        <v>13</v>
      </c>
      <c r="B43" s="9" t="n">
        <v>45444</v>
      </c>
      <c r="C43" s="3" t="n">
        <v>2024</v>
      </c>
      <c r="D43" s="3" t="n">
        <v>6</v>
      </c>
      <c r="E43" s="3" t="n">
        <v>30</v>
      </c>
      <c r="F43" s="10" t="n">
        <f aca="false">Annual_Data!$C$5*U43</f>
        <v>2.633230883336</v>
      </c>
      <c r="G43" s="11" t="n">
        <f aca="false">Annual_Data!$D$5*V43</f>
        <v>0.0675611796344</v>
      </c>
      <c r="H43" s="12" t="n">
        <f aca="false">Annual_Data!$E$4+(Annual_Data!$E$5-Annual_Data!$E$4)*D43/12</f>
        <v>94.15</v>
      </c>
      <c r="I43" s="13" t="n">
        <f aca="false">Annual_Data!$F$5*Y43</f>
        <v>2340.10293273002</v>
      </c>
      <c r="J43" s="13" t="n">
        <f aca="false">Annual_Data!$H$5*W43</f>
        <v>16072.4677368975</v>
      </c>
      <c r="K43" s="13" t="n">
        <f aca="false">Annual_Data!$I$5*X43</f>
        <v>10532.0768725802</v>
      </c>
      <c r="L43" s="12" t="n">
        <f aca="false">K43*0.0036</f>
        <v>37.9154767412888</v>
      </c>
      <c r="M43" s="14" t="n">
        <f aca="false">K43/(I43*E43/1000)</f>
        <v>150.022985816458</v>
      </c>
      <c r="N43" s="10" t="n">
        <f aca="false">LN(F43)</f>
        <v>0.968211564985766</v>
      </c>
      <c r="O43" s="10" t="n">
        <f aca="false">LN(G43)</f>
        <v>-2.69472172665027</v>
      </c>
      <c r="P43" s="10" t="n">
        <f aca="false">LN(I43)</f>
        <v>7.75795019573045</v>
      </c>
      <c r="Q43" s="10" t="n">
        <f aca="false">LN(J43)</f>
        <v>9.68486300866572</v>
      </c>
      <c r="R43" s="10" t="n">
        <f aca="false">LN(M43)</f>
        <v>5.01078852113278</v>
      </c>
      <c r="S43" s="3" t="n">
        <v>0</v>
      </c>
      <c r="T43" s="3" t="s">
        <v>47</v>
      </c>
      <c r="U43" s="15" t="n">
        <v>0.08028142937</v>
      </c>
      <c r="V43" s="15" t="n">
        <v>0.084451474543</v>
      </c>
      <c r="W43" s="15" t="n">
        <v>0.0849563535</v>
      </c>
      <c r="X43" s="15" t="n">
        <v>0.081095824139</v>
      </c>
      <c r="Y43" s="15" t="n">
        <v>0.992410064771</v>
      </c>
    </row>
    <row r="44" customFormat="false" ht="15" hidden="false" customHeight="true" outlineLevel="0" collapsed="false">
      <c r="A44" s="3" t="s">
        <v>13</v>
      </c>
      <c r="B44" s="9" t="n">
        <v>45474</v>
      </c>
      <c r="C44" s="3" t="n">
        <v>2024</v>
      </c>
      <c r="D44" s="3" t="n">
        <v>7</v>
      </c>
      <c r="E44" s="3" t="n">
        <v>31</v>
      </c>
      <c r="F44" s="10" t="n">
        <f aca="false">Annual_Data!$C$5*U44</f>
        <v>2.77893431862</v>
      </c>
      <c r="G44" s="11" t="n">
        <f aca="false">Annual_Data!$D$5*V44</f>
        <v>0.0707290779144</v>
      </c>
      <c r="H44" s="12" t="n">
        <f aca="false">Annual_Data!$E$4+(Annual_Data!$E$5-Annual_Data!$E$4)*D44/12</f>
        <v>95.2083333333333</v>
      </c>
      <c r="I44" s="13" t="n">
        <f aca="false">Annual_Data!$F$5*Y44</f>
        <v>2339.93727070196</v>
      </c>
      <c r="J44" s="13" t="n">
        <f aca="false">Annual_Data!$H$5*W44</f>
        <v>16040.979769606</v>
      </c>
      <c r="K44" s="13" t="n">
        <f aca="false">Annual_Data!$I$5*X44</f>
        <v>10980.4253403935</v>
      </c>
      <c r="L44" s="12" t="n">
        <f aca="false">K44*0.0036</f>
        <v>39.5295312254166</v>
      </c>
      <c r="M44" s="14" t="n">
        <f aca="false">K44/(I44*E44/1000)</f>
        <v>151.374685757577</v>
      </c>
      <c r="N44" s="10" t="n">
        <f aca="false">LN(F44)</f>
        <v>1.02206751558361</v>
      </c>
      <c r="O44" s="10" t="n">
        <f aca="false">LN(G44)</f>
        <v>-2.64889850471652</v>
      </c>
      <c r="P44" s="10" t="n">
        <f aca="false">LN(I44)</f>
        <v>7.7578794006001</v>
      </c>
      <c r="Q44" s="10" t="n">
        <f aca="false">LN(J44)</f>
        <v>9.68290196244816</v>
      </c>
      <c r="R44" s="10" t="n">
        <f aca="false">LN(M44)</f>
        <v>5.01975812595088</v>
      </c>
      <c r="S44" s="3" t="n">
        <v>0</v>
      </c>
      <c r="T44" s="3" t="s">
        <v>47</v>
      </c>
      <c r="U44" s="15" t="n">
        <v>0.084723607275</v>
      </c>
      <c r="V44" s="15" t="n">
        <v>0.088411347393</v>
      </c>
      <c r="W44" s="15" t="n">
        <v>0.084789913416</v>
      </c>
      <c r="X44" s="15" t="n">
        <v>0.084548057629</v>
      </c>
      <c r="Y44" s="15" t="n">
        <v>0.992339809458</v>
      </c>
    </row>
    <row r="45" customFormat="false" ht="15" hidden="false" customHeight="true" outlineLevel="0" collapsed="false">
      <c r="A45" s="3" t="s">
        <v>13</v>
      </c>
      <c r="B45" s="9" t="n">
        <v>45505</v>
      </c>
      <c r="C45" s="3" t="n">
        <v>2024</v>
      </c>
      <c r="D45" s="3" t="n">
        <v>8</v>
      </c>
      <c r="E45" s="3" t="n">
        <v>31</v>
      </c>
      <c r="F45" s="10" t="n">
        <f aca="false">Annual_Data!$C$5*U45</f>
        <v>2.8637870709368</v>
      </c>
      <c r="G45" s="11" t="n">
        <f aca="false">Annual_Data!$D$5*V45</f>
        <v>0.0679661522008</v>
      </c>
      <c r="H45" s="12" t="n">
        <f aca="false">Annual_Data!$E$4+(Annual_Data!$E$5-Annual_Data!$E$4)*D45/12</f>
        <v>96.2666666666667</v>
      </c>
      <c r="I45" s="13" t="n">
        <f aca="false">Annual_Data!$F$5*Y45</f>
        <v>2374.61078466488</v>
      </c>
      <c r="J45" s="13" t="n">
        <f aca="false">Annual_Data!$H$5*W45</f>
        <v>15564.4935565247</v>
      </c>
      <c r="K45" s="13" t="n">
        <f aca="false">Annual_Data!$I$5*X45</f>
        <v>11247.3163787639</v>
      </c>
      <c r="L45" s="12" t="n">
        <f aca="false">K45*0.0036</f>
        <v>40.4903389635501</v>
      </c>
      <c r="M45" s="14" t="n">
        <f aca="false">K45/(I45*E45/1000)</f>
        <v>152.789947608481</v>
      </c>
      <c r="N45" s="10" t="n">
        <f aca="false">LN(F45)</f>
        <v>1.0521448995946</v>
      </c>
      <c r="O45" s="10" t="n">
        <f aca="false">LN(G45)</f>
        <v>-2.68874545948348</v>
      </c>
      <c r="P45" s="10" t="n">
        <f aca="false">LN(I45)</f>
        <v>7.77258882289782</v>
      </c>
      <c r="Q45" s="10" t="n">
        <f aca="false">LN(J45)</f>
        <v>9.65274754502061</v>
      </c>
      <c r="R45" s="10" t="n">
        <f aca="false">LN(M45)</f>
        <v>5.02906408666569</v>
      </c>
      <c r="S45" s="3" t="n">
        <v>0</v>
      </c>
      <c r="T45" s="3" t="s">
        <v>47</v>
      </c>
      <c r="U45" s="15" t="n">
        <v>0.087310581431</v>
      </c>
      <c r="V45" s="15" t="n">
        <v>0.084957690251</v>
      </c>
      <c r="W45" s="15" t="n">
        <v>0.082271287663</v>
      </c>
      <c r="X45" s="15" t="n">
        <v>0.086603089032</v>
      </c>
      <c r="Y45" s="15" t="n">
        <v>1.007044437941</v>
      </c>
    </row>
    <row r="46" customFormat="false" ht="15" hidden="false" customHeight="true" outlineLevel="0" collapsed="false">
      <c r="A46" s="3" t="s">
        <v>13</v>
      </c>
      <c r="B46" s="9" t="n">
        <v>45536</v>
      </c>
      <c r="C46" s="3" t="n">
        <v>2024</v>
      </c>
      <c r="D46" s="3" t="n">
        <v>9</v>
      </c>
      <c r="E46" s="3" t="n">
        <v>30</v>
      </c>
      <c r="F46" s="10" t="n">
        <f aca="false">Annual_Data!$C$5*U46</f>
        <v>2.6563688502976</v>
      </c>
      <c r="G46" s="11" t="n">
        <f aca="false">Annual_Data!$D$5*V46</f>
        <v>0.0562238111832</v>
      </c>
      <c r="H46" s="12" t="n">
        <f aca="false">Annual_Data!$E$4+(Annual_Data!$E$5-Annual_Data!$E$4)*D46/12</f>
        <v>97.325</v>
      </c>
      <c r="I46" s="13" t="n">
        <f aca="false">Annual_Data!$F$5*Y46</f>
        <v>2383.18754578969</v>
      </c>
      <c r="J46" s="13" t="n">
        <f aca="false">Annual_Data!$H$5*W46</f>
        <v>15540.640038289</v>
      </c>
      <c r="K46" s="13" t="n">
        <f aca="false">Annual_Data!$I$5*X46</f>
        <v>10605.8590829508</v>
      </c>
      <c r="L46" s="12" t="n">
        <f aca="false">K46*0.0036</f>
        <v>38.1810926986229</v>
      </c>
      <c r="M46" s="14" t="n">
        <f aca="false">K46/(I46*E46/1000)</f>
        <v>148.342767535409</v>
      </c>
      <c r="N46" s="10" t="n">
        <f aca="false">LN(F46)</f>
        <v>0.976960096331072</v>
      </c>
      <c r="O46" s="10" t="n">
        <f aca="false">LN(G46)</f>
        <v>-2.87841492527848</v>
      </c>
      <c r="P46" s="10" t="n">
        <f aca="false">LN(I46)</f>
        <v>7.77619417555027</v>
      </c>
      <c r="Q46" s="10" t="n">
        <f aca="false">LN(J46)</f>
        <v>9.65121380957858</v>
      </c>
      <c r="R46" s="10" t="n">
        <f aca="false">LN(M46)</f>
        <v>4.99952559283796</v>
      </c>
      <c r="S46" s="3" t="n">
        <v>0</v>
      </c>
      <c r="T46" s="3" t="s">
        <v>47</v>
      </c>
      <c r="U46" s="15" t="n">
        <v>0.080986855192</v>
      </c>
      <c r="V46" s="15" t="n">
        <v>0.070279763979</v>
      </c>
      <c r="W46" s="15" t="n">
        <v>0.082145201989</v>
      </c>
      <c r="X46" s="15" t="n">
        <v>0.081663938978</v>
      </c>
      <c r="Y46" s="15" t="n">
        <v>1.010681741217</v>
      </c>
    </row>
    <row r="47" customFormat="false" ht="15" hidden="false" customHeight="true" outlineLevel="0" collapsed="false">
      <c r="A47" s="3" t="s">
        <v>13</v>
      </c>
      <c r="B47" s="9" t="n">
        <v>45566</v>
      </c>
      <c r="C47" s="3" t="n">
        <v>2024</v>
      </c>
      <c r="D47" s="3" t="n">
        <v>10</v>
      </c>
      <c r="E47" s="3" t="n">
        <v>31</v>
      </c>
      <c r="F47" s="10" t="n">
        <f aca="false">Annual_Data!$C$5*U47</f>
        <v>2.7600292362008</v>
      </c>
      <c r="G47" s="11" t="n">
        <f aca="false">Annual_Data!$D$5*V47</f>
        <v>0.061547090068</v>
      </c>
      <c r="H47" s="12" t="n">
        <f aca="false">Annual_Data!$E$4+(Annual_Data!$E$5-Annual_Data!$E$4)*D47/12</f>
        <v>98.3833333333333</v>
      </c>
      <c r="I47" s="13" t="n">
        <f aca="false">Annual_Data!$F$5*Y47</f>
        <v>2370.2293284568</v>
      </c>
      <c r="J47" s="13" t="n">
        <f aca="false">Annual_Data!$H$5*W47</f>
        <v>15491.7880475761</v>
      </c>
      <c r="K47" s="13" t="n">
        <f aca="false">Annual_Data!$I$5*X47</f>
        <v>10840.0188128543</v>
      </c>
      <c r="L47" s="12" t="n">
        <f aca="false">K47*0.0036</f>
        <v>39.0240677262756</v>
      </c>
      <c r="M47" s="14" t="n">
        <f aca="false">K47/(I47*E47/1000)</f>
        <v>147.529195602678</v>
      </c>
      <c r="N47" s="10" t="n">
        <f aca="false">LN(F47)</f>
        <v>1.01524127249933</v>
      </c>
      <c r="O47" s="10" t="n">
        <f aca="false">LN(G47)</f>
        <v>-2.78795270499976</v>
      </c>
      <c r="P47" s="10" t="n">
        <f aca="false">LN(I47)</f>
        <v>7.77074199250988</v>
      </c>
      <c r="Q47" s="10" t="n">
        <f aca="false">LN(J47)</f>
        <v>9.64806535912975</v>
      </c>
      <c r="R47" s="10" t="n">
        <f aca="false">LN(M47)</f>
        <v>4.99402609248241</v>
      </c>
      <c r="S47" s="3" t="n">
        <v>0</v>
      </c>
      <c r="T47" s="3" t="s">
        <v>47</v>
      </c>
      <c r="U47" s="15" t="n">
        <v>0.084147232811</v>
      </c>
      <c r="V47" s="15" t="n">
        <v>0.076933862585</v>
      </c>
      <c r="W47" s="15" t="n">
        <v>0.081886978606</v>
      </c>
      <c r="X47" s="15" t="n">
        <v>0.083466942935</v>
      </c>
      <c r="Y47" s="15" t="n">
        <v>1.005186314019</v>
      </c>
    </row>
    <row r="48" customFormat="false" ht="15" hidden="false" customHeight="true" outlineLevel="0" collapsed="false">
      <c r="A48" s="3" t="s">
        <v>13</v>
      </c>
      <c r="B48" s="9" t="n">
        <v>45597</v>
      </c>
      <c r="C48" s="3" t="n">
        <v>2024</v>
      </c>
      <c r="D48" s="3" t="n">
        <v>11</v>
      </c>
      <c r="E48" s="3" t="n">
        <v>30</v>
      </c>
      <c r="F48" s="10" t="n">
        <f aca="false">Annual_Data!$C$5*U48</f>
        <v>2.8292859690632</v>
      </c>
      <c r="G48" s="11" t="n">
        <f aca="false">Annual_Data!$D$5*V48</f>
        <v>0.0593895395264</v>
      </c>
      <c r="H48" s="12" t="n">
        <f aca="false">Annual_Data!$E$4+(Annual_Data!$E$5-Annual_Data!$E$4)*D48/12</f>
        <v>99.4416666666667</v>
      </c>
      <c r="I48" s="13" t="n">
        <f aca="false">Annual_Data!$F$5*Y48</f>
        <v>2391.35910318139</v>
      </c>
      <c r="J48" s="13" t="n">
        <f aca="false">Annual_Data!$H$5*W48</f>
        <v>15188.6434678065</v>
      </c>
      <c r="K48" s="13" t="n">
        <f aca="false">Annual_Data!$I$5*X48</f>
        <v>11105.5218070813</v>
      </c>
      <c r="L48" s="12" t="n">
        <f aca="false">K48*0.0036</f>
        <v>39.9798785054928</v>
      </c>
      <c r="M48" s="14" t="n">
        <f aca="false">K48/(I48*E48/1000)</f>
        <v>154.8006987924</v>
      </c>
      <c r="N48" s="10" t="n">
        <f aca="false">LN(F48)</f>
        <v>1.04002437206867</v>
      </c>
      <c r="O48" s="10" t="n">
        <f aca="false">LN(G48)</f>
        <v>-2.82363717037052</v>
      </c>
      <c r="P48" s="10" t="n">
        <f aca="false">LN(I48)</f>
        <v>7.77961714571734</v>
      </c>
      <c r="Q48" s="10" t="n">
        <f aca="false">LN(J48)</f>
        <v>9.62830328731008</v>
      </c>
      <c r="R48" s="10" t="n">
        <f aca="false">LN(M48)</f>
        <v>5.04213847530823</v>
      </c>
      <c r="S48" s="3" t="n">
        <v>0</v>
      </c>
      <c r="T48" s="3" t="s">
        <v>47</v>
      </c>
      <c r="U48" s="15" t="n">
        <v>0.086258718569</v>
      </c>
      <c r="V48" s="15" t="n">
        <v>0.074236924408</v>
      </c>
      <c r="W48" s="15" t="n">
        <v>0.080284607489</v>
      </c>
      <c r="X48" s="15" t="n">
        <v>0.085511286552</v>
      </c>
      <c r="Y48" s="15" t="n">
        <v>1.014147202367</v>
      </c>
    </row>
    <row r="49" customFormat="false" ht="15" hidden="false" customHeight="true" outlineLevel="0" collapsed="false">
      <c r="A49" s="3" t="s">
        <v>13</v>
      </c>
      <c r="B49" s="9" t="n">
        <v>45627</v>
      </c>
      <c r="C49" s="3" t="n">
        <v>2024</v>
      </c>
      <c r="D49" s="3" t="n">
        <v>12</v>
      </c>
      <c r="E49" s="3" t="n">
        <v>31</v>
      </c>
      <c r="F49" s="10" t="n">
        <f aca="false">Annual_Data!$C$5*U49</f>
        <v>2.925518912784</v>
      </c>
      <c r="G49" s="11" t="n">
        <f aca="false">Annual_Data!$D$5*V49</f>
        <v>0.0630022251624</v>
      </c>
      <c r="H49" s="12" t="n">
        <f aca="false">Annual_Data!$E$4+(Annual_Data!$E$5-Annual_Data!$E$4)*D49/12</f>
        <v>100.5</v>
      </c>
      <c r="I49" s="13" t="n">
        <f aca="false">Annual_Data!$F$5*Y49</f>
        <v>2360.56225702693</v>
      </c>
      <c r="J49" s="13" t="n">
        <f aca="false">Annual_Data!$H$5*W49</f>
        <v>16200.408311973</v>
      </c>
      <c r="K49" s="13" t="n">
        <f aca="false">Annual_Data!$I$5*X49</f>
        <v>11564.1900153149</v>
      </c>
      <c r="L49" s="12" t="n">
        <f aca="false">K49*0.0036</f>
        <v>41.6310840551337</v>
      </c>
      <c r="M49" s="14" t="n">
        <f aca="false">K49/(I49*E49/1000)</f>
        <v>158.029463734897</v>
      </c>
      <c r="N49" s="10" t="n">
        <f aca="false">LN(F49)</f>
        <v>1.07347187102922</v>
      </c>
      <c r="O49" s="10" t="n">
        <f aca="false">LN(G49)</f>
        <v>-2.76458523317625</v>
      </c>
      <c r="P49" s="10" t="n">
        <f aca="false">LN(I49)</f>
        <v>7.76665511414688</v>
      </c>
      <c r="Q49" s="10" t="n">
        <f aca="false">LN(J49)</f>
        <v>9.69279172534563</v>
      </c>
      <c r="R49" s="10" t="n">
        <f aca="false">LN(M49)</f>
        <v>5.06278149497665</v>
      </c>
      <c r="S49" s="3" t="n">
        <v>0</v>
      </c>
      <c r="T49" s="3" t="s">
        <v>47</v>
      </c>
      <c r="U49" s="15" t="n">
        <v>0.08919264978</v>
      </c>
      <c r="V49" s="15" t="n">
        <v>0.078752781453</v>
      </c>
      <c r="W49" s="15" t="n">
        <v>0.0856326258</v>
      </c>
      <c r="X49" s="15" t="n">
        <v>0.089042980899</v>
      </c>
      <c r="Y49" s="15" t="n">
        <v>1.001086622997</v>
      </c>
    </row>
    <row r="50" customFormat="false" ht="15" hidden="false" customHeight="true" outlineLevel="0" collapsed="false">
      <c r="A50" s="3" t="s">
        <v>13</v>
      </c>
      <c r="B50" s="9" t="n">
        <v>45658</v>
      </c>
      <c r="C50" s="3" t="n">
        <v>2025</v>
      </c>
      <c r="D50" s="3" t="n">
        <v>1</v>
      </c>
      <c r="E50" s="3" t="n">
        <v>31</v>
      </c>
      <c r="F50" s="10" t="n">
        <f aca="false">Annual_Data!$C$6*U50</f>
        <v>2.9500749245653</v>
      </c>
      <c r="G50" s="11" t="n">
        <f aca="false">Annual_Data!$D$6*V50</f>
        <v>0.0650473362847</v>
      </c>
      <c r="H50" s="12" t="n">
        <f aca="false">Annual_Data!$E$5+(Annual_Data!$E$6-Annual_Data!$E$5)*D50/12</f>
        <v>99.9333333333333</v>
      </c>
      <c r="I50" s="13" t="n">
        <f aca="false">Annual_Data!$F$6*Y50</f>
        <v>2350.36259829096</v>
      </c>
      <c r="J50" s="13" t="n">
        <f aca="false">Annual_Data!$H$6*W50</f>
        <v>16237.3093693178</v>
      </c>
      <c r="K50" s="13" t="n">
        <f aca="false">Annual_Data!$I$6*X50</f>
        <v>11677.952563253</v>
      </c>
      <c r="L50" s="12" t="n">
        <f aca="false">K50*0.0036</f>
        <v>42.0406292277109</v>
      </c>
      <c r="M50" s="14" t="n">
        <f aca="false">K50/(I50*E50/1000)</f>
        <v>160.276609011576</v>
      </c>
      <c r="N50" s="10" t="n">
        <f aca="false">LN(F50)</f>
        <v>1.08183056818693</v>
      </c>
      <c r="O50" s="10" t="n">
        <f aca="false">LN(G50)</f>
        <v>-2.7326400235984</v>
      </c>
      <c r="P50" s="10" t="n">
        <f aca="false">LN(I50)</f>
        <v>7.76232489238071</v>
      </c>
      <c r="Q50" s="10" t="n">
        <f aca="false">LN(J50)</f>
        <v>9.69506692076015</v>
      </c>
      <c r="R50" s="10" t="n">
        <f aca="false">LN(M50)</f>
        <v>5.07690112889063</v>
      </c>
      <c r="S50" s="3" t="n">
        <v>0</v>
      </c>
      <c r="T50" s="3" t="s">
        <v>47</v>
      </c>
      <c r="U50" s="15" t="n">
        <v>0.087539315269</v>
      </c>
      <c r="V50" s="15" t="n">
        <v>0.092924766121</v>
      </c>
      <c r="W50" s="15" t="n">
        <v>0.085759681883</v>
      </c>
      <c r="X50" s="15" t="n">
        <v>0.086858507105</v>
      </c>
      <c r="Y50" s="15" t="n">
        <v>1.01659281933</v>
      </c>
    </row>
    <row r="51" customFormat="false" ht="15" hidden="false" customHeight="true" outlineLevel="0" collapsed="false">
      <c r="A51" s="3" t="s">
        <v>13</v>
      </c>
      <c r="B51" s="9" t="n">
        <v>45689</v>
      </c>
      <c r="C51" s="3" t="n">
        <v>2025</v>
      </c>
      <c r="D51" s="3" t="n">
        <v>2</v>
      </c>
      <c r="E51" s="3" t="n">
        <v>28</v>
      </c>
      <c r="F51" s="10" t="n">
        <f aca="false">Annual_Data!$C$6*U51</f>
        <v>2.6588321640809</v>
      </c>
      <c r="G51" s="11" t="n">
        <f aca="false">Annual_Data!$D$6*V51</f>
        <v>0.0563772673296</v>
      </c>
      <c r="H51" s="12" t="n">
        <f aca="false">Annual_Data!$E$5+(Annual_Data!$E$6-Annual_Data!$E$5)*D51/12</f>
        <v>99.3666666666667</v>
      </c>
      <c r="I51" s="13" t="n">
        <f aca="false">Annual_Data!$F$6*Y51</f>
        <v>2369.55629752476</v>
      </c>
      <c r="J51" s="13" t="n">
        <f aca="false">Annual_Data!$H$6*W51</f>
        <v>14686.6524934281</v>
      </c>
      <c r="K51" s="13" t="n">
        <f aca="false">Annual_Data!$I$6*X51</f>
        <v>10584.8253394256</v>
      </c>
      <c r="L51" s="12" t="n">
        <f aca="false">K51*0.0036</f>
        <v>38.1053712219322</v>
      </c>
      <c r="M51" s="14" t="n">
        <f aca="false">K51/(I51*E51/1000)</f>
        <v>159.535975913696</v>
      </c>
      <c r="N51" s="10" t="n">
        <f aca="false">LN(F51)</f>
        <v>0.977886990329247</v>
      </c>
      <c r="O51" s="10" t="n">
        <f aca="false">LN(G51)</f>
        <v>-2.87568926326117</v>
      </c>
      <c r="P51" s="10" t="n">
        <f aca="false">LN(I51)</f>
        <v>7.77045800036775</v>
      </c>
      <c r="Q51" s="10" t="n">
        <f aca="false">LN(J51)</f>
        <v>9.59469436664655</v>
      </c>
      <c r="R51" s="10" t="n">
        <f aca="false">LN(M51)</f>
        <v>5.07226945110919</v>
      </c>
      <c r="S51" s="3" t="n">
        <v>0</v>
      </c>
      <c r="T51" s="3" t="s">
        <v>47</v>
      </c>
      <c r="U51" s="15" t="n">
        <v>0.078897096857</v>
      </c>
      <c r="V51" s="15" t="n">
        <v>0.080538953328</v>
      </c>
      <c r="W51" s="15" t="n">
        <v>0.077569664845</v>
      </c>
      <c r="X51" s="15" t="n">
        <v>0.078728023767</v>
      </c>
      <c r="Y51" s="15" t="n">
        <v>1.024894592355</v>
      </c>
    </row>
    <row r="52" customFormat="false" ht="15" hidden="false" customHeight="true" outlineLevel="0" collapsed="false">
      <c r="A52" s="3" t="s">
        <v>13</v>
      </c>
      <c r="B52" s="9" t="n">
        <v>45717</v>
      </c>
      <c r="C52" s="3" t="n">
        <v>2025</v>
      </c>
      <c r="D52" s="3" t="n">
        <v>3</v>
      </c>
      <c r="E52" s="3" t="n">
        <v>31</v>
      </c>
      <c r="F52" s="10" t="n">
        <f aca="false">Annual_Data!$C$6*U52</f>
        <v>2.9008367925037</v>
      </c>
      <c r="G52" s="11" t="n">
        <f aca="false">Annual_Data!$D$6*V52</f>
        <v>0.0599774352226</v>
      </c>
      <c r="H52" s="12" t="n">
        <f aca="false">Annual_Data!$E$5+(Annual_Data!$E$6-Annual_Data!$E$5)*D52/12</f>
        <v>98.8</v>
      </c>
      <c r="I52" s="13" t="n">
        <f aca="false">Annual_Data!$F$6*Y52</f>
        <v>2356.58699509607</v>
      </c>
      <c r="J52" s="13" t="n">
        <f aca="false">Annual_Data!$H$6*W52</f>
        <v>15749.7275648889</v>
      </c>
      <c r="K52" s="13" t="n">
        <f aca="false">Annual_Data!$I$6*X52</f>
        <v>11573.006270894</v>
      </c>
      <c r="L52" s="12" t="n">
        <f aca="false">K52*0.0036</f>
        <v>41.6628225752183</v>
      </c>
      <c r="M52" s="14" t="n">
        <f aca="false">K52/(I52*E52/1000)</f>
        <v>158.416720328563</v>
      </c>
      <c r="N52" s="10" t="n">
        <f aca="false">LN(F52)</f>
        <v>1.06499924450934</v>
      </c>
      <c r="O52" s="10" t="n">
        <f aca="false">LN(G52)</f>
        <v>-2.81378686711905</v>
      </c>
      <c r="P52" s="10" t="n">
        <f aca="false">LN(I52)</f>
        <v>7.76496966276112</v>
      </c>
      <c r="Q52" s="10" t="n">
        <f aca="false">LN(J52)</f>
        <v>9.66457834663681</v>
      </c>
      <c r="R52" s="10" t="n">
        <f aca="false">LN(M52)</f>
        <v>5.06522903143933</v>
      </c>
      <c r="S52" s="3" t="n">
        <v>0</v>
      </c>
      <c r="T52" s="3" t="s">
        <v>47</v>
      </c>
      <c r="U52" s="15" t="n">
        <v>0.086078243101</v>
      </c>
      <c r="V52" s="15" t="n">
        <v>0.085682050318</v>
      </c>
      <c r="W52" s="15" t="n">
        <v>0.083184448543</v>
      </c>
      <c r="X52" s="15" t="n">
        <v>0.086077935491</v>
      </c>
      <c r="Y52" s="15" t="n">
        <v>1.019285032481</v>
      </c>
    </row>
    <row r="53" customFormat="false" ht="15" hidden="false" customHeight="true" outlineLevel="0" collapsed="false">
      <c r="A53" s="3" t="s">
        <v>13</v>
      </c>
      <c r="B53" s="9" t="n">
        <v>45748</v>
      </c>
      <c r="C53" s="3" t="n">
        <v>2025</v>
      </c>
      <c r="D53" s="3" t="n">
        <v>4</v>
      </c>
      <c r="E53" s="3" t="n">
        <v>30</v>
      </c>
      <c r="F53" s="10" t="n">
        <f aca="false">Annual_Data!$C$6*U53</f>
        <v>2.758052870876</v>
      </c>
      <c r="G53" s="11" t="n">
        <f aca="false">Annual_Data!$D$6*V53</f>
        <v>0.053507547933</v>
      </c>
      <c r="H53" s="12" t="n">
        <f aca="false">Annual_Data!$E$5+(Annual_Data!$E$6-Annual_Data!$E$5)*D53/12</f>
        <v>98.2333333333333</v>
      </c>
      <c r="I53" s="13" t="n">
        <f aca="false">Annual_Data!$F$6*Y53</f>
        <v>2337.21390945154</v>
      </c>
      <c r="J53" s="13" t="n">
        <f aca="false">Annual_Data!$H$6*W53</f>
        <v>15365.5626652067</v>
      </c>
      <c r="K53" s="13" t="n">
        <f aca="false">Annual_Data!$I$6*X53</f>
        <v>10808.750641316</v>
      </c>
      <c r="L53" s="12" t="n">
        <f aca="false">K53*0.0036</f>
        <v>38.9115023087377</v>
      </c>
      <c r="M53" s="14" t="n">
        <f aca="false">K53/(I53*E53/1000)</f>
        <v>154.15434872558</v>
      </c>
      <c r="N53" s="10" t="n">
        <f aca="false">LN(F53)</f>
        <v>1.01452494919317</v>
      </c>
      <c r="O53" s="10" t="n">
        <f aca="false">LN(G53)</f>
        <v>-2.92793255217161</v>
      </c>
      <c r="P53" s="10" t="n">
        <f aca="false">LN(I53)</f>
        <v>7.75671486199388</v>
      </c>
      <c r="Q53" s="10" t="n">
        <f aca="false">LN(J53)</f>
        <v>9.63988409382294</v>
      </c>
      <c r="R53" s="10" t="n">
        <f aca="false">LN(M53)</f>
        <v>5.03795436493378</v>
      </c>
      <c r="S53" s="3" t="n">
        <v>0</v>
      </c>
      <c r="T53" s="3" t="s">
        <v>47</v>
      </c>
      <c r="U53" s="15" t="n">
        <v>0.08184133148</v>
      </c>
      <c r="V53" s="15" t="n">
        <v>0.07643935419</v>
      </c>
      <c r="W53" s="15" t="n">
        <v>0.081155426441</v>
      </c>
      <c r="X53" s="15" t="n">
        <v>0.080393539817</v>
      </c>
      <c r="Y53" s="15" t="n">
        <v>1.010905670178</v>
      </c>
    </row>
    <row r="54" customFormat="false" ht="15" hidden="false" customHeight="true" outlineLevel="0" collapsed="false">
      <c r="A54" s="3" t="s">
        <v>13</v>
      </c>
      <c r="B54" s="9" t="n">
        <v>45778</v>
      </c>
      <c r="C54" s="3" t="n">
        <v>2025</v>
      </c>
      <c r="D54" s="3" t="n">
        <v>5</v>
      </c>
      <c r="E54" s="3" t="n">
        <v>31</v>
      </c>
      <c r="F54" s="10" t="n">
        <f aca="false">Annual_Data!$C$6*U54</f>
        <v>2.7718203695526</v>
      </c>
      <c r="G54" s="11" t="n">
        <f aca="false">Annual_Data!$D$6*V54</f>
        <v>0.0555152083647</v>
      </c>
      <c r="H54" s="12" t="n">
        <f aca="false">Annual_Data!$E$5+(Annual_Data!$E$6-Annual_Data!$E$5)*D54/12</f>
        <v>97.6666666666667</v>
      </c>
      <c r="I54" s="13" t="n">
        <f aca="false">Annual_Data!$F$6*Y54</f>
        <v>2319.15198658685</v>
      </c>
      <c r="J54" s="13" t="n">
        <f aca="false">Annual_Data!$H$6*W54</f>
        <v>16070.7055155315</v>
      </c>
      <c r="K54" s="13" t="n">
        <f aca="false">Annual_Data!$I$6*X54</f>
        <v>10999.5513466505</v>
      </c>
      <c r="L54" s="12" t="n">
        <f aca="false">K54*0.0036</f>
        <v>39.5983848479419</v>
      </c>
      <c r="M54" s="14" t="n">
        <f aca="false">K54/(I54*E54/1000)</f>
        <v>152.997405534827</v>
      </c>
      <c r="N54" s="10" t="n">
        <f aca="false">LN(F54)</f>
        <v>1.01950427747923</v>
      </c>
      <c r="O54" s="10" t="n">
        <f aca="false">LN(G54)</f>
        <v>-2.89109827117844</v>
      </c>
      <c r="P54" s="10" t="n">
        <f aca="false">LN(I54)</f>
        <v>7.74895687481762</v>
      </c>
      <c r="Q54" s="10" t="n">
        <f aca="false">LN(J54)</f>
        <v>9.6847533604145</v>
      </c>
      <c r="R54" s="10" t="n">
        <f aca="false">LN(M54)</f>
        <v>5.03042096395994</v>
      </c>
      <c r="S54" s="3" t="n">
        <v>0</v>
      </c>
      <c r="T54" s="3" t="s">
        <v>47</v>
      </c>
      <c r="U54" s="15" t="n">
        <v>0.082249862598</v>
      </c>
      <c r="V54" s="15" t="n">
        <v>0.079307440521</v>
      </c>
      <c r="W54" s="15" t="n">
        <v>0.084879739697</v>
      </c>
      <c r="X54" s="15" t="n">
        <v>0.081812681086</v>
      </c>
      <c r="Y54" s="15" t="n">
        <v>1.003093419804</v>
      </c>
    </row>
    <row r="55" customFormat="false" ht="15" hidden="false" customHeight="true" outlineLevel="0" collapsed="false">
      <c r="A55" s="3" t="s">
        <v>13</v>
      </c>
      <c r="B55" s="9" t="n">
        <v>45809</v>
      </c>
      <c r="C55" s="3" t="n">
        <v>2025</v>
      </c>
      <c r="D55" s="3" t="n">
        <v>6</v>
      </c>
      <c r="E55" s="3" t="n">
        <v>30</v>
      </c>
      <c r="F55" s="10" t="n">
        <f aca="false">Annual_Data!$C$6*U55</f>
        <v>2.7676591172437</v>
      </c>
      <c r="G55" s="11" t="n">
        <f aca="false">Annual_Data!$D$6*V55</f>
        <v>0.058237053777</v>
      </c>
      <c r="H55" s="12" t="n">
        <f aca="false">Annual_Data!$E$5+(Annual_Data!$E$6-Annual_Data!$E$5)*D55/12</f>
        <v>97.1</v>
      </c>
      <c r="I55" s="13" t="n">
        <f aca="false">Annual_Data!$F$6*Y55</f>
        <v>2303.21721621946</v>
      </c>
      <c r="J55" s="13" t="n">
        <f aca="false">Annual_Data!$H$6*W55</f>
        <v>15613.9408967863</v>
      </c>
      <c r="K55" s="13" t="n">
        <f aca="false">Annual_Data!$I$6*X55</f>
        <v>10979.6586488632</v>
      </c>
      <c r="L55" s="12" t="n">
        <f aca="false">K55*0.0036</f>
        <v>39.5267711359076</v>
      </c>
      <c r="M55" s="14" t="n">
        <f aca="false">K55/(I55*E55/1000)</f>
        <v>158.903215489816</v>
      </c>
      <c r="N55" s="10" t="n">
        <f aca="false">LN(F55)</f>
        <v>1.01800187888689</v>
      </c>
      <c r="O55" s="10" t="n">
        <f aca="false">LN(G55)</f>
        <v>-2.8432334639935</v>
      </c>
      <c r="P55" s="10" t="n">
        <f aca="false">LN(I55)</f>
        <v>7.74206221418296</v>
      </c>
      <c r="Q55" s="10" t="n">
        <f aca="false">LN(J55)</f>
        <v>9.65591944140256</v>
      </c>
      <c r="R55" s="10" t="n">
        <f aca="false">LN(M55)</f>
        <v>5.06829530927132</v>
      </c>
      <c r="S55" s="3" t="n">
        <v>0</v>
      </c>
      <c r="T55" s="3" t="s">
        <v>47</v>
      </c>
      <c r="U55" s="15" t="n">
        <v>0.082126383301</v>
      </c>
      <c r="V55" s="15" t="n">
        <v>0.08319579111</v>
      </c>
      <c r="W55" s="15" t="n">
        <v>0.08246727175</v>
      </c>
      <c r="X55" s="15" t="n">
        <v>0.081664722784</v>
      </c>
      <c r="Y55" s="15" t="n">
        <v>0.996201218088</v>
      </c>
    </row>
    <row r="56" customFormat="false" ht="15" hidden="false" customHeight="true" outlineLevel="0" collapsed="false">
      <c r="A56" s="3" t="s">
        <v>13</v>
      </c>
      <c r="B56" s="9" t="n">
        <v>45839</v>
      </c>
      <c r="C56" s="3" t="n">
        <v>2025</v>
      </c>
      <c r="D56" s="3" t="n">
        <v>7</v>
      </c>
      <c r="E56" s="3" t="n">
        <v>31</v>
      </c>
      <c r="F56" s="10" t="n">
        <f aca="false">Annual_Data!$C$6*U56</f>
        <v>2.8734828721927</v>
      </c>
      <c r="G56" s="11" t="n">
        <f aca="false">Annual_Data!$D$6*V56</f>
        <v>0.0617762262621</v>
      </c>
      <c r="H56" s="12" t="n">
        <f aca="false">Annual_Data!$E$5+(Annual_Data!$E$6-Annual_Data!$E$5)*D56/12</f>
        <v>96.5333333333333</v>
      </c>
      <c r="I56" s="13" t="n">
        <f aca="false">Annual_Data!$F$6*Y56</f>
        <v>2296.96819857492</v>
      </c>
      <c r="J56" s="13" t="n">
        <f aca="false">Annual_Data!$H$6*W56</f>
        <v>16204.9502070179</v>
      </c>
      <c r="K56" s="13" t="n">
        <f aca="false">Annual_Data!$I$6*X56</f>
        <v>11492.9993688849</v>
      </c>
      <c r="L56" s="12" t="n">
        <f aca="false">K56*0.0036</f>
        <v>41.3747977279857</v>
      </c>
      <c r="M56" s="14" t="n">
        <f aca="false">K56/(I56*E56/1000)</f>
        <v>161.404896835461</v>
      </c>
      <c r="N56" s="10" t="n">
        <f aca="false">LN(F56)</f>
        <v>1.05552483833982</v>
      </c>
      <c r="O56" s="10" t="n">
        <f aca="false">LN(G56)</f>
        <v>-2.78423667684556</v>
      </c>
      <c r="P56" s="10" t="n">
        <f aca="false">LN(I56)</f>
        <v>7.73934535782831</v>
      </c>
      <c r="Q56" s="10" t="n">
        <f aca="false">LN(J56)</f>
        <v>9.69307204287842</v>
      </c>
      <c r="R56" s="10" t="n">
        <f aca="false">LN(M56)</f>
        <v>5.08391609512444</v>
      </c>
      <c r="S56" s="3" t="n">
        <v>0</v>
      </c>
      <c r="T56" s="3" t="s">
        <v>47</v>
      </c>
      <c r="U56" s="15" t="n">
        <v>0.085266554071</v>
      </c>
      <c r="V56" s="15" t="n">
        <v>0.088251751803</v>
      </c>
      <c r="W56" s="15" t="n">
        <v>0.085588772319</v>
      </c>
      <c r="X56" s="15" t="n">
        <v>0.085482858569</v>
      </c>
      <c r="Y56" s="15" t="n">
        <v>0.993498355785</v>
      </c>
    </row>
    <row r="57" customFormat="false" ht="15" hidden="false" customHeight="true" outlineLevel="0" collapsed="false">
      <c r="A57" s="3" t="s">
        <v>13</v>
      </c>
      <c r="B57" s="9" t="n">
        <v>45870</v>
      </c>
      <c r="C57" s="3" t="n">
        <v>2025</v>
      </c>
      <c r="D57" s="3" t="n">
        <v>8</v>
      </c>
      <c r="E57" s="3" t="n">
        <v>31</v>
      </c>
      <c r="F57" s="10" t="n">
        <f aca="false">Annual_Data!$C$6*U57</f>
        <v>2.8974380104458</v>
      </c>
      <c r="G57" s="11" t="n">
        <f aca="false">Annual_Data!$D$6*V57</f>
        <v>0.061600933541</v>
      </c>
      <c r="H57" s="12" t="n">
        <f aca="false">Annual_Data!$E$5+(Annual_Data!$E$6-Annual_Data!$E$5)*D57/12</f>
        <v>95.9666666666667</v>
      </c>
      <c r="I57" s="13" t="n">
        <f aca="false">Annual_Data!$F$6*Y57</f>
        <v>2275.52536413779</v>
      </c>
      <c r="J57" s="13" t="n">
        <f aca="false">Annual_Data!$H$6*W57</f>
        <v>16464.8629753942</v>
      </c>
      <c r="K57" s="13" t="n">
        <f aca="false">Annual_Data!$I$6*X57</f>
        <v>11497.5763032279</v>
      </c>
      <c r="L57" s="12" t="n">
        <f aca="false">K57*0.0036</f>
        <v>41.3912746916206</v>
      </c>
      <c r="M57" s="14" t="n">
        <f aca="false">K57/(I57*E57/1000)</f>
        <v>162.990737881393</v>
      </c>
      <c r="N57" s="10" t="n">
        <f aca="false">LN(F57)</f>
        <v>1.06382690185133</v>
      </c>
      <c r="O57" s="10" t="n">
        <f aca="false">LN(G57)</f>
        <v>-2.78707825367113</v>
      </c>
      <c r="P57" s="10" t="n">
        <f aca="false">LN(I57)</f>
        <v>7.72996623401632</v>
      </c>
      <c r="Q57" s="10" t="n">
        <f aca="false">LN(J57)</f>
        <v>9.70898387260118</v>
      </c>
      <c r="R57" s="10" t="n">
        <f aca="false">LN(M57)</f>
        <v>5.09369337637874</v>
      </c>
      <c r="S57" s="3" t="n">
        <v>0</v>
      </c>
      <c r="T57" s="3" t="s">
        <v>47</v>
      </c>
      <c r="U57" s="15" t="n">
        <v>0.085977389034</v>
      </c>
      <c r="V57" s="15" t="n">
        <v>0.08800133363</v>
      </c>
      <c r="W57" s="15" t="n">
        <v>0.086961538941</v>
      </c>
      <c r="X57" s="15" t="n">
        <v>0.085516900982</v>
      </c>
      <c r="Y57" s="15" t="n">
        <v>0.984223773416</v>
      </c>
    </row>
    <row r="58" customFormat="false" ht="15" hidden="false" customHeight="true" outlineLevel="0" collapsed="false">
      <c r="A58" s="3" t="s">
        <v>13</v>
      </c>
      <c r="B58" s="9" t="n">
        <v>45901</v>
      </c>
      <c r="C58" s="3" t="n">
        <v>2025</v>
      </c>
      <c r="D58" s="3" t="n">
        <v>9</v>
      </c>
      <c r="E58" s="3" t="n">
        <v>30</v>
      </c>
      <c r="F58" s="10" t="n">
        <f aca="false">Annual_Data!$C$6*U58</f>
        <v>2.6843417447259</v>
      </c>
      <c r="G58" s="11" t="n">
        <f aca="false">Annual_Data!$D$6*V58</f>
        <v>0.0566163269777</v>
      </c>
      <c r="H58" s="12" t="n">
        <f aca="false">Annual_Data!$E$5+(Annual_Data!$E$6-Annual_Data!$E$5)*D58/12</f>
        <v>95.4</v>
      </c>
      <c r="I58" s="13" t="n">
        <f aca="false">Annual_Data!$F$6*Y58</f>
        <v>2276.5753361276</v>
      </c>
      <c r="J58" s="13" t="n">
        <f aca="false">Annual_Data!$H$6*W58</f>
        <v>15322.6757733379</v>
      </c>
      <c r="K58" s="13" t="n">
        <f aca="false">Annual_Data!$I$6*X58</f>
        <v>10746.2109619656</v>
      </c>
      <c r="L58" s="12" t="n">
        <f aca="false">K58*0.0036</f>
        <v>38.6863594630762</v>
      </c>
      <c r="M58" s="14" t="n">
        <f aca="false">K58/(I58*E58/1000)</f>
        <v>157.344686284277</v>
      </c>
      <c r="N58" s="10" t="n">
        <f aca="false">LN(F58)</f>
        <v>0.98743553765308</v>
      </c>
      <c r="O58" s="10" t="n">
        <f aca="false">LN(G58)</f>
        <v>-2.87145787286678</v>
      </c>
      <c r="P58" s="10" t="n">
        <f aca="false">LN(I58)</f>
        <v>7.7304275471891</v>
      </c>
      <c r="Q58" s="10" t="n">
        <f aca="false">LN(J58)</f>
        <v>9.63708908687757</v>
      </c>
      <c r="R58" s="10" t="n">
        <f aca="false">LN(M58)</f>
        <v>5.05843885290065</v>
      </c>
      <c r="S58" s="3" t="n">
        <v>0</v>
      </c>
      <c r="T58" s="3" t="s">
        <v>47</v>
      </c>
      <c r="U58" s="15" t="n">
        <v>0.079654057707</v>
      </c>
      <c r="V58" s="15" t="n">
        <v>0.080880467111</v>
      </c>
      <c r="W58" s="15" t="n">
        <v>0.080928913161</v>
      </c>
      <c r="X58" s="15" t="n">
        <v>0.07992838095</v>
      </c>
      <c r="Y58" s="15" t="n">
        <v>0.98467791355</v>
      </c>
    </row>
    <row r="59" customFormat="false" ht="15" hidden="false" customHeight="true" outlineLevel="0" collapsed="false">
      <c r="A59" s="3" t="s">
        <v>13</v>
      </c>
      <c r="B59" s="9" t="n">
        <v>45931</v>
      </c>
      <c r="C59" s="3" t="n">
        <v>2025</v>
      </c>
      <c r="D59" s="3" t="n">
        <v>10</v>
      </c>
      <c r="E59" s="3" t="n">
        <v>31</v>
      </c>
      <c r="F59" s="10" t="n">
        <f aca="false">Annual_Data!$C$6*U59</f>
        <v>2.7441196902945</v>
      </c>
      <c r="G59" s="11" t="n">
        <f aca="false">Annual_Data!$D$6*V59</f>
        <v>0.0563578460137</v>
      </c>
      <c r="H59" s="12" t="n">
        <f aca="false">Annual_Data!$E$5+(Annual_Data!$E$6-Annual_Data!$E$5)*D59/12</f>
        <v>94.8333333333333</v>
      </c>
      <c r="I59" s="13" t="n">
        <f aca="false">Annual_Data!$F$6*Y59</f>
        <v>2282.8801959451</v>
      </c>
      <c r="J59" s="13" t="n">
        <f aca="false">Annual_Data!$H$6*W59</f>
        <v>16155.4861826656</v>
      </c>
      <c r="K59" s="13" t="n">
        <f aca="false">Annual_Data!$I$6*X59</f>
        <v>11045.2929909694</v>
      </c>
      <c r="L59" s="12" t="n">
        <f aca="false">K59*0.0036</f>
        <v>39.7630547674897</v>
      </c>
      <c r="M59" s="14" t="n">
        <f aca="false">K59/(I59*E59/1000)</f>
        <v>156.074670293739</v>
      </c>
      <c r="N59" s="10" t="n">
        <f aca="false">LN(F59)</f>
        <v>1.00946032782435</v>
      </c>
      <c r="O59" s="10" t="n">
        <f aca="false">LN(G59)</f>
        <v>-2.87603381103367</v>
      </c>
      <c r="P59" s="10" t="n">
        <f aca="false">LN(I59)</f>
        <v>7.73319316856288</v>
      </c>
      <c r="Q59" s="10" t="n">
        <f aca="false">LN(J59)</f>
        <v>9.69001497267828</v>
      </c>
      <c r="R59" s="10" t="n">
        <f aca="false">LN(M59)</f>
        <v>5.05033454845952</v>
      </c>
      <c r="S59" s="3" t="n">
        <v>0</v>
      </c>
      <c r="T59" s="3" t="s">
        <v>47</v>
      </c>
      <c r="U59" s="15" t="n">
        <v>0.081427883985</v>
      </c>
      <c r="V59" s="15" t="n">
        <v>0.080511208591</v>
      </c>
      <c r="W59" s="15" t="n">
        <v>0.085327520969</v>
      </c>
      <c r="X59" s="15" t="n">
        <v>0.082152899195</v>
      </c>
      <c r="Y59" s="15" t="n">
        <v>0.987404929042</v>
      </c>
    </row>
    <row r="60" customFormat="false" ht="15" hidden="false" customHeight="true" outlineLevel="0" collapsed="false">
      <c r="A60" s="3" t="s">
        <v>13</v>
      </c>
      <c r="B60" s="9" t="n">
        <v>45962</v>
      </c>
      <c r="C60" s="3" t="n">
        <v>2025</v>
      </c>
      <c r="D60" s="3" t="n">
        <v>11</v>
      </c>
      <c r="E60" s="3" t="n">
        <v>30</v>
      </c>
      <c r="F60" s="10" t="n">
        <f aca="false">Annual_Data!$C$6*U60</f>
        <v>2.7790979578164</v>
      </c>
      <c r="G60" s="11" t="n">
        <f aca="false">Annual_Data!$D$6*V60</f>
        <v>0.0550611213684</v>
      </c>
      <c r="H60" s="12" t="n">
        <f aca="false">Annual_Data!$E$5+(Annual_Data!$E$6-Annual_Data!$E$5)*D60/12</f>
        <v>94.2666666666667</v>
      </c>
      <c r="I60" s="13" t="n">
        <f aca="false">Annual_Data!$F$6*Y60</f>
        <v>2299.33437215668</v>
      </c>
      <c r="J60" s="13" t="n">
        <f aca="false">Annual_Data!$H$6*W60</f>
        <v>15613.2768419514</v>
      </c>
      <c r="K60" s="13" t="n">
        <f aca="false">Annual_Data!$I$6*X60</f>
        <v>11300.8004864981</v>
      </c>
      <c r="L60" s="12" t="n">
        <f aca="false">K60*0.0036</f>
        <v>40.6828817513933</v>
      </c>
      <c r="M60" s="14" t="n">
        <f aca="false">K60/(I60*E60/1000)</f>
        <v>163.827129325525</v>
      </c>
      <c r="N60" s="10" t="n">
        <f aca="false">LN(F60)</f>
        <v>1.02212639944334</v>
      </c>
      <c r="O60" s="10" t="n">
        <f aca="false">LN(G60)</f>
        <v>-2.89931141317648</v>
      </c>
      <c r="P60" s="10" t="n">
        <f aca="false">LN(I60)</f>
        <v>7.74037495662185</v>
      </c>
      <c r="Q60" s="10" t="n">
        <f aca="false">LN(J60)</f>
        <v>9.655876910887</v>
      </c>
      <c r="R60" s="10" t="n">
        <f aca="false">LN(M60)</f>
        <v>5.09881178240267</v>
      </c>
      <c r="S60" s="3" t="n">
        <v>0</v>
      </c>
      <c r="T60" s="3" t="s">
        <v>47</v>
      </c>
      <c r="U60" s="15" t="n">
        <v>0.082465814772</v>
      </c>
      <c r="V60" s="15" t="n">
        <v>0.078658744812</v>
      </c>
      <c r="W60" s="15" t="n">
        <v>0.082463764449</v>
      </c>
      <c r="X60" s="15" t="n">
        <v>0.084053317911</v>
      </c>
      <c r="Y60" s="15" t="n">
        <v>0.994521787265</v>
      </c>
    </row>
    <row r="61" customFormat="false" ht="15" hidden="false" customHeight="true" outlineLevel="0" collapsed="false">
      <c r="A61" s="3" t="s">
        <v>13</v>
      </c>
      <c r="B61" s="9" t="n">
        <v>45992</v>
      </c>
      <c r="C61" s="3" t="n">
        <v>2025</v>
      </c>
      <c r="D61" s="3" t="n">
        <v>12</v>
      </c>
      <c r="E61" s="3" t="n">
        <v>31</v>
      </c>
      <c r="F61" s="10" t="n">
        <f aca="false">Annual_Data!$C$6*U61</f>
        <v>2.9142434856688</v>
      </c>
      <c r="G61" s="11" t="n">
        <f aca="false">Annual_Data!$D$6*V61</f>
        <v>0.0599256969255</v>
      </c>
      <c r="H61" s="12" t="n">
        <f aca="false">Annual_Data!$E$5+(Annual_Data!$E$6-Annual_Data!$E$5)*D61/12</f>
        <v>93.7</v>
      </c>
      <c r="I61" s="13" t="n">
        <f aca="false">Annual_Data!$F$6*Y61</f>
        <v>2281.17623074175</v>
      </c>
      <c r="J61" s="13" t="n">
        <f aca="false">Annual_Data!$H$6*W61</f>
        <v>15849.8495142843</v>
      </c>
      <c r="K61" s="13" t="n">
        <f aca="false">Annual_Data!$I$6*X61</f>
        <v>11741.3750779172</v>
      </c>
      <c r="L61" s="12" t="n">
        <f aca="false">K61*0.0036</f>
        <v>42.268950280502</v>
      </c>
      <c r="M61" s="14" t="n">
        <f aca="false">K61/(I61*E61/1000)</f>
        <v>166.034535020719</v>
      </c>
      <c r="N61" s="10" t="n">
        <f aca="false">LN(F61)</f>
        <v>1.06961026147819</v>
      </c>
      <c r="O61" s="10" t="n">
        <f aca="false">LN(G61)</f>
        <v>-2.81464986876686</v>
      </c>
      <c r="P61" s="10" t="n">
        <f aca="false">LN(I61)</f>
        <v>7.73244647959885</v>
      </c>
      <c r="Q61" s="10" t="n">
        <f aca="false">LN(J61)</f>
        <v>9.67091528489344</v>
      </c>
      <c r="R61" s="10" t="n">
        <f aca="false">LN(M61)</f>
        <v>5.11219580901223</v>
      </c>
      <c r="S61" s="3" t="n">
        <v>0</v>
      </c>
      <c r="T61" s="3" t="s">
        <v>47</v>
      </c>
      <c r="U61" s="15" t="n">
        <v>0.086476067824</v>
      </c>
      <c r="V61" s="15" t="n">
        <v>0.085608138465</v>
      </c>
      <c r="W61" s="15" t="n">
        <v>0.083713257001</v>
      </c>
      <c r="X61" s="15" t="n">
        <v>0.087330232342</v>
      </c>
      <c r="Y61" s="15" t="n">
        <v>0.986667919871</v>
      </c>
    </row>
    <row r="62" customFormat="false" ht="15" hidden="false" customHeight="true" outlineLevel="0" collapsed="false">
      <c r="A62" s="16" t="s">
        <v>13</v>
      </c>
      <c r="B62" s="17" t="n">
        <v>46023</v>
      </c>
      <c r="C62" s="16" t="n">
        <v>2026</v>
      </c>
      <c r="D62" s="16" t="n">
        <v>1</v>
      </c>
      <c r="E62" s="16" t="n">
        <v>31</v>
      </c>
      <c r="F62" s="18" t="n">
        <f aca="false">Assumptions_2026!$G$2*U62</f>
        <v>2.94484480900556</v>
      </c>
      <c r="G62" s="19" t="n">
        <f aca="false">Assumptions_2026!$G$3*V62</f>
        <v>0.0582842041938763</v>
      </c>
      <c r="H62" s="20" t="n">
        <f aca="false">Annual_Data!$E$6+(Assumptions_2026!$G$4-Annual_Data!$E$6)*D62/12</f>
        <v>94.3829736465109</v>
      </c>
      <c r="I62" s="21" t="n">
        <f aca="false">Assumptions_2026!$G$5*Y62</f>
        <v>2304.24058353822</v>
      </c>
      <c r="J62" s="21" t="n">
        <f aca="false">Assumptions_2026!$G$6*W62</f>
        <v>15951.550127573</v>
      </c>
      <c r="K62" s="21" t="n">
        <f aca="false">Assumptions_2026!$G$7*X62</f>
        <v>11674.453436655</v>
      </c>
      <c r="L62" s="20" t="n">
        <f aca="false">K62*0.0036</f>
        <v>42.028032371958</v>
      </c>
      <c r="M62" s="22" t="n">
        <f aca="false">K62/(I62*E62/1000)</f>
        <v>163.43574314271</v>
      </c>
      <c r="N62" s="18" t="n">
        <f aca="false">LN(F62)</f>
        <v>1.0800561192823</v>
      </c>
      <c r="O62" s="18" t="n">
        <f aca="false">LN(G62)</f>
        <v>-2.84242416240732</v>
      </c>
      <c r="P62" s="18" t="n">
        <f aca="false">LN(I62)</f>
        <v>7.74250643630286</v>
      </c>
      <c r="Q62" s="18" t="n">
        <f aca="false">LN(J62)</f>
        <v>9.67731129017237</v>
      </c>
      <c r="R62" s="18" t="n">
        <f aca="false">LN(M62)</f>
        <v>5.09641990478784</v>
      </c>
      <c r="S62" s="16" t="n">
        <v>0</v>
      </c>
      <c r="T62" s="16" t="s">
        <v>48</v>
      </c>
      <c r="U62" s="23" t="n">
        <v>0.087058174756</v>
      </c>
      <c r="V62" s="23" t="n">
        <v>0.113300318691</v>
      </c>
      <c r="W62" s="23" t="n">
        <v>0.080491317079</v>
      </c>
      <c r="X62" s="23" t="n">
        <v>0.085906654228</v>
      </c>
      <c r="Y62" s="23" t="n">
        <v>0.986355384334</v>
      </c>
    </row>
    <row r="63" customFormat="false" ht="15" hidden="false" customHeight="true" outlineLevel="0" collapsed="false">
      <c r="A63" s="16" t="s">
        <v>13</v>
      </c>
      <c r="B63" s="17" t="n">
        <v>46054</v>
      </c>
      <c r="C63" s="16" t="n">
        <v>2026</v>
      </c>
      <c r="D63" s="16" t="n">
        <v>2</v>
      </c>
      <c r="E63" s="16" t="n">
        <v>28</v>
      </c>
      <c r="F63" s="18" t="n">
        <f aca="false">Assumptions_2026!$G$2*U63</f>
        <v>2.58678528735552</v>
      </c>
      <c r="G63" s="19" t="n">
        <f aca="false">Assumptions_2026!$G$3*V63</f>
        <v>0.0503730856212712</v>
      </c>
      <c r="H63" s="20" t="n">
        <f aca="false">Annual_Data!$E$6+(Assumptions_2026!$G$4-Annual_Data!$E$6)*D63/12</f>
        <v>95.0659472930218</v>
      </c>
      <c r="I63" s="21" t="n">
        <f aca="false">Assumptions_2026!$G$5*Y63</f>
        <v>2320.00043466118</v>
      </c>
      <c r="J63" s="21" t="n">
        <f aca="false">Assumptions_2026!$G$6*W63</f>
        <v>14807.7806427617</v>
      </c>
      <c r="K63" s="21" t="n">
        <f aca="false">Assumptions_2026!$G$7*X63</f>
        <v>10536.2074184024</v>
      </c>
      <c r="L63" s="20" t="n">
        <f aca="false">K63*0.0036</f>
        <v>37.9303467062487</v>
      </c>
      <c r="M63" s="22" t="n">
        <f aca="false">K63/(I63*E63/1000)</f>
        <v>162.195280855952</v>
      </c>
      <c r="N63" s="18" t="n">
        <f aca="false">LN(F63)</f>
        <v>0.950415902989282</v>
      </c>
      <c r="O63" s="18" t="n">
        <f aca="false">LN(G63)</f>
        <v>-2.98829826199282</v>
      </c>
      <c r="P63" s="18" t="n">
        <f aca="false">LN(I63)</f>
        <v>7.74932265201429</v>
      </c>
      <c r="Q63" s="18" t="n">
        <f aca="false">LN(J63)</f>
        <v>9.60290804071585</v>
      </c>
      <c r="R63" s="18" t="n">
        <f aca="false">LN(M63)</f>
        <v>5.0888010466585</v>
      </c>
      <c r="S63" s="16" t="n">
        <v>0</v>
      </c>
      <c r="T63" s="16" t="s">
        <v>48</v>
      </c>
      <c r="U63" s="23" t="n">
        <v>0.07647289423</v>
      </c>
      <c r="V63" s="23" t="n">
        <v>0.097921670773</v>
      </c>
      <c r="W63" s="23" t="n">
        <v>0.074719870948</v>
      </c>
      <c r="X63" s="23" t="n">
        <v>0.077530852513</v>
      </c>
      <c r="Y63" s="23" t="n">
        <v>0.99310156098</v>
      </c>
    </row>
    <row r="64" customFormat="false" ht="15" hidden="false" customHeight="true" outlineLevel="0" collapsed="false">
      <c r="A64" s="16" t="s">
        <v>13</v>
      </c>
      <c r="B64" s="17" t="n">
        <v>46082</v>
      </c>
      <c r="C64" s="16" t="n">
        <v>2026</v>
      </c>
      <c r="D64" s="16" t="n">
        <v>3</v>
      </c>
      <c r="E64" s="16" t="n">
        <v>31</v>
      </c>
      <c r="F64" s="18" t="n">
        <f aca="false">Assumptions_2026!$G$2*U64</f>
        <v>2.84902568066481</v>
      </c>
      <c r="G64" s="19" t="n">
        <f aca="false">Assumptions_2026!$G$3*V64</f>
        <v>0.0500203731706817</v>
      </c>
      <c r="H64" s="20" t="n">
        <f aca="false">Annual_Data!$E$6+(Assumptions_2026!$G$4-Annual_Data!$E$6)*D64/12</f>
        <v>95.7489209395327</v>
      </c>
      <c r="I64" s="21" t="n">
        <f aca="false">Assumptions_2026!$G$5*Y64</f>
        <v>2316.28295835413</v>
      </c>
      <c r="J64" s="21" t="n">
        <f aca="false">Assumptions_2026!$G$6*W64</f>
        <v>15836.6913047184</v>
      </c>
      <c r="K64" s="21" t="n">
        <f aca="false">Assumptions_2026!$G$7*X64</f>
        <v>11431.8986352355</v>
      </c>
      <c r="L64" s="20" t="n">
        <f aca="false">K64*0.0036</f>
        <v>41.154835086848</v>
      </c>
      <c r="M64" s="22" t="n">
        <f aca="false">K64/(I64*E64/1000)</f>
        <v>159.208063240819</v>
      </c>
      <c r="N64" s="18" t="n">
        <f aca="false">LN(F64)</f>
        <v>1.04697706939751</v>
      </c>
      <c r="O64" s="18" t="n">
        <f aca="false">LN(G64)</f>
        <v>-2.99532489313103</v>
      </c>
      <c r="P64" s="18" t="n">
        <f aca="false">LN(I64)</f>
        <v>7.74771900668522</v>
      </c>
      <c r="Q64" s="18" t="n">
        <f aca="false">LN(J64)</f>
        <v>9.6700847612716</v>
      </c>
      <c r="R64" s="18" t="n">
        <f aca="false">LN(M64)</f>
        <v>5.0702119206253</v>
      </c>
      <c r="S64" s="16" t="n">
        <v>0</v>
      </c>
      <c r="T64" s="16" t="s">
        <v>48</v>
      </c>
      <c r="U64" s="23" t="n">
        <v>0.084225482726</v>
      </c>
      <c r="V64" s="23" t="n">
        <v>0.09723602303</v>
      </c>
      <c r="W64" s="23" t="n">
        <v>0.079911740934</v>
      </c>
      <c r="X64" s="23" t="n">
        <v>0.084121810803</v>
      </c>
      <c r="Y64" s="23" t="n">
        <v>0.991510254587</v>
      </c>
    </row>
    <row r="65" customFormat="false" ht="15" hidden="false" customHeight="true" outlineLevel="0" collapsed="false">
      <c r="A65" s="16" t="s">
        <v>13</v>
      </c>
      <c r="B65" s="17" t="n">
        <v>46113</v>
      </c>
      <c r="C65" s="16" t="n">
        <v>2026</v>
      </c>
      <c r="D65" s="16" t="n">
        <v>4</v>
      </c>
      <c r="E65" s="16" t="n">
        <v>30</v>
      </c>
      <c r="F65" s="18" t="n">
        <f aca="false">Assumptions_2026!$G$2*U65</f>
        <v>2.73206035127703</v>
      </c>
      <c r="G65" s="19" t="n">
        <f aca="false">Assumptions_2026!$G$3*V65</f>
        <v>0.0463544271034307</v>
      </c>
      <c r="H65" s="20" t="n">
        <f aca="false">Annual_Data!$E$6+(Assumptions_2026!$G$4-Annual_Data!$E$6)*D65/12</f>
        <v>96.4318945860436</v>
      </c>
      <c r="I65" s="21" t="n">
        <f aca="false">Assumptions_2026!$G$5*Y65</f>
        <v>2295.64929021728</v>
      </c>
      <c r="J65" s="21" t="n">
        <f aca="false">Assumptions_2026!$G$6*W65</f>
        <v>16059.6681011268</v>
      </c>
      <c r="K65" s="21" t="n">
        <f aca="false">Assumptions_2026!$G$7*X65</f>
        <v>10898.4286720403</v>
      </c>
      <c r="L65" s="20" t="n">
        <f aca="false">K65*0.0036</f>
        <v>39.2343432193451</v>
      </c>
      <c r="M65" s="22" t="n">
        <f aca="false">K65/(I65*E65/1000)</f>
        <v>158.247584804338</v>
      </c>
      <c r="N65" s="18" t="n">
        <f aca="false">LN(F65)</f>
        <v>1.00505603197591</v>
      </c>
      <c r="O65" s="18" t="n">
        <f aca="false">LN(G65)</f>
        <v>-3.07143847689438</v>
      </c>
      <c r="P65" s="18" t="n">
        <f aca="false">LN(I65)</f>
        <v>7.73877099760906</v>
      </c>
      <c r="Q65" s="18" t="n">
        <f aca="false">LN(J65)</f>
        <v>9.68406632110581</v>
      </c>
      <c r="R65" s="18" t="n">
        <f aca="false">LN(M65)</f>
        <v>5.0641607990079</v>
      </c>
      <c r="S65" s="16" t="n">
        <v>0</v>
      </c>
      <c r="T65" s="16" t="s">
        <v>48</v>
      </c>
      <c r="U65" s="23" t="n">
        <v>0.08076764751</v>
      </c>
      <c r="V65" s="23" t="n">
        <v>0.090109686427</v>
      </c>
      <c r="W65" s="23" t="n">
        <v>0.081036878985</v>
      </c>
      <c r="X65" s="23" t="n">
        <v>0.08019626346</v>
      </c>
      <c r="Y65" s="23" t="n">
        <v>0.982677787261</v>
      </c>
    </row>
    <row r="66" customFormat="false" ht="15" hidden="false" customHeight="true" outlineLevel="0" collapsed="false">
      <c r="A66" s="16" t="s">
        <v>13</v>
      </c>
      <c r="B66" s="17" t="n">
        <v>46143</v>
      </c>
      <c r="C66" s="16" t="n">
        <v>2026</v>
      </c>
      <c r="D66" s="16" t="n">
        <v>5</v>
      </c>
      <c r="E66" s="16" t="n">
        <v>31</v>
      </c>
      <c r="F66" s="18" t="n">
        <f aca="false">Assumptions_2026!$G$2*U66</f>
        <v>2.78032419754879</v>
      </c>
      <c r="G66" s="19" t="n">
        <f aca="false">Assumptions_2026!$G$3*V66</f>
        <v>0.0460024448566974</v>
      </c>
      <c r="H66" s="20" t="n">
        <f aca="false">Annual_Data!$E$6+(Assumptions_2026!$G$4-Annual_Data!$E$6)*D66/12</f>
        <v>97.1148682325544</v>
      </c>
      <c r="I66" s="21" t="n">
        <f aca="false">Assumptions_2026!$G$5*Y66</f>
        <v>2315.1480785894</v>
      </c>
      <c r="J66" s="21" t="n">
        <f aca="false">Assumptions_2026!$G$6*W66</f>
        <v>16868.6147474307</v>
      </c>
      <c r="K66" s="21" t="n">
        <f aca="false">Assumptions_2026!$G$7*X66</f>
        <v>11187.3468367737</v>
      </c>
      <c r="L66" s="20" t="n">
        <f aca="false">K66*0.0036</f>
        <v>40.2744486123854</v>
      </c>
      <c r="M66" s="22" t="n">
        <f aca="false">K66/(I66*E66/1000)</f>
        <v>155.878649561302</v>
      </c>
      <c r="N66" s="18" t="n">
        <f aca="false">LN(F66)</f>
        <v>1.02256753872652</v>
      </c>
      <c r="O66" s="18" t="n">
        <f aca="false">LN(G66)</f>
        <v>-3.07906073484676</v>
      </c>
      <c r="P66" s="18" t="n">
        <f aca="false">LN(I66)</f>
        <v>7.74722892930811</v>
      </c>
      <c r="Q66" s="18" t="n">
        <f aca="false">LN(J66)</f>
        <v>9.7332100587975</v>
      </c>
      <c r="R66" s="18" t="n">
        <f aca="false">LN(M66)</f>
        <v>5.04907781711057</v>
      </c>
      <c r="S66" s="16" t="n">
        <v>0</v>
      </c>
      <c r="T66" s="16" t="s">
        <v>48</v>
      </c>
      <c r="U66" s="23" t="n">
        <v>0.082194467134</v>
      </c>
      <c r="V66" s="23" t="n">
        <v>0.089425458148</v>
      </c>
      <c r="W66" s="23" t="n">
        <v>0.085118813373</v>
      </c>
      <c r="X66" s="23" t="n">
        <v>0.082322272443</v>
      </c>
      <c r="Y66" s="23" t="n">
        <v>0.991024456891</v>
      </c>
    </row>
    <row r="67" customFormat="false" ht="15" hidden="false" customHeight="true" outlineLevel="0" collapsed="false">
      <c r="A67" s="16" t="s">
        <v>13</v>
      </c>
      <c r="B67" s="17" t="n">
        <v>46174</v>
      </c>
      <c r="C67" s="16" t="n">
        <v>2026</v>
      </c>
      <c r="D67" s="16" t="n">
        <v>6</v>
      </c>
      <c r="E67" s="16" t="n">
        <v>30</v>
      </c>
      <c r="F67" s="18" t="n">
        <f aca="false">Assumptions_2026!$G$2*U67</f>
        <v>2.81950618646948</v>
      </c>
      <c r="G67" s="19" t="n">
        <f aca="false">Assumptions_2026!$G$3*V67</f>
        <v>0.0435427792409449</v>
      </c>
      <c r="H67" s="20" t="n">
        <f aca="false">Annual_Data!$E$6+(Assumptions_2026!$G$4-Annual_Data!$E$6)*D67/12</f>
        <v>97.7978418790653</v>
      </c>
      <c r="I67" s="21" t="n">
        <f aca="false">Assumptions_2026!$G$5*Y67</f>
        <v>2342.57289705222</v>
      </c>
      <c r="J67" s="21" t="n">
        <f aca="false">Assumptions_2026!$G$6*W67</f>
        <v>16307.9437407598</v>
      </c>
      <c r="K67" s="21" t="n">
        <f aca="false">Assumptions_2026!$G$7*X67</f>
        <v>11236.3873006854</v>
      </c>
      <c r="L67" s="20" t="n">
        <f aca="false">K67*0.0036</f>
        <v>40.4509942824676</v>
      </c>
      <c r="M67" s="22" t="n">
        <f aca="false">K67/(I67*E67/1000)</f>
        <v>159.886697155718</v>
      </c>
      <c r="N67" s="18" t="n">
        <f aca="false">LN(F67)</f>
        <v>1.03656175843523</v>
      </c>
      <c r="O67" s="18" t="n">
        <f aca="false">LN(G67)</f>
        <v>-3.13401139331247</v>
      </c>
      <c r="P67" s="18" t="n">
        <f aca="false">LN(I67)</f>
        <v>7.75900513296764</v>
      </c>
      <c r="Q67" s="18" t="n">
        <f aca="false">LN(J67)</f>
        <v>9.69940761413921</v>
      </c>
      <c r="R67" s="18" t="n">
        <f aca="false">LN(M67)</f>
        <v>5.07446542160554</v>
      </c>
      <c r="S67" s="16" t="n">
        <v>0</v>
      </c>
      <c r="T67" s="16" t="s">
        <v>48</v>
      </c>
      <c r="U67" s="23" t="n">
        <v>0.083352800649</v>
      </c>
      <c r="V67" s="23" t="n">
        <v>0.08464404435</v>
      </c>
      <c r="W67" s="23" t="n">
        <v>0.082289674674</v>
      </c>
      <c r="X67" s="23" t="n">
        <v>0.082683137489</v>
      </c>
      <c r="Y67" s="23" t="n">
        <v>1.002763950392</v>
      </c>
    </row>
    <row r="68" customFormat="false" ht="15" hidden="false" customHeight="true" outlineLevel="0" collapsed="false">
      <c r="A68" s="16" t="s">
        <v>13</v>
      </c>
      <c r="B68" s="17" t="n">
        <v>46204</v>
      </c>
      <c r="C68" s="16" t="n">
        <v>2026</v>
      </c>
      <c r="D68" s="16" t="n">
        <v>7</v>
      </c>
      <c r="E68" s="16" t="n">
        <v>31</v>
      </c>
      <c r="F68" s="18" t="n">
        <f aca="false">Assumptions_2026!$G$2*U68</f>
        <v>2.90670568022902</v>
      </c>
      <c r="G68" s="19" t="n">
        <f aca="false">Assumptions_2026!$G$3*V68</f>
        <v>0.0437637486337575</v>
      </c>
      <c r="H68" s="20" t="n">
        <f aca="false">Annual_Data!$E$6+(Assumptions_2026!$G$4-Annual_Data!$E$6)*D68/12</f>
        <v>98.4808155255762</v>
      </c>
      <c r="I68" s="21" t="n">
        <f aca="false">Assumptions_2026!$G$5*Y68</f>
        <v>2346.27710231886</v>
      </c>
      <c r="J68" s="21" t="n">
        <f aca="false">Assumptions_2026!$G$6*W68</f>
        <v>16947.8633785812</v>
      </c>
      <c r="K68" s="21" t="n">
        <f aca="false">Assumptions_2026!$G$7*X68</f>
        <v>11782.0781849321</v>
      </c>
      <c r="L68" s="20" t="n">
        <f aca="false">K68*0.0036</f>
        <v>42.4154814657556</v>
      </c>
      <c r="M68" s="22" t="n">
        <f aca="false">K68/(I68*E68/1000)</f>
        <v>161.987276715095</v>
      </c>
      <c r="N68" s="18" t="n">
        <f aca="false">LN(F68)</f>
        <v>1.06702037125984</v>
      </c>
      <c r="O68" s="18" t="n">
        <f aca="false">LN(G68)</f>
        <v>-3.12894946106023</v>
      </c>
      <c r="P68" s="18" t="n">
        <f aca="false">LN(I68)</f>
        <v>7.76058513916863</v>
      </c>
      <c r="Q68" s="18" t="n">
        <f aca="false">LN(J68)</f>
        <v>9.73789705050209</v>
      </c>
      <c r="R68" s="18" t="n">
        <f aca="false">LN(M68)</f>
        <v>5.08751779335234</v>
      </c>
      <c r="S68" s="16" t="n">
        <v>0</v>
      </c>
      <c r="T68" s="16" t="s">
        <v>48</v>
      </c>
      <c r="U68" s="23" t="n">
        <v>0.085930671219</v>
      </c>
      <c r="V68" s="23" t="n">
        <v>0.085073593024</v>
      </c>
      <c r="W68" s="23" t="n">
        <v>0.085518700948</v>
      </c>
      <c r="X68" s="23" t="n">
        <v>0.086698612677</v>
      </c>
      <c r="Y68" s="23" t="n">
        <v>1.004349575971</v>
      </c>
    </row>
    <row r="69" customFormat="false" ht="15" hidden="false" customHeight="true" outlineLevel="0" collapsed="false">
      <c r="A69" s="16" t="s">
        <v>13</v>
      </c>
      <c r="B69" s="17" t="n">
        <v>46235</v>
      </c>
      <c r="C69" s="16" t="n">
        <v>2026</v>
      </c>
      <c r="D69" s="16" t="n">
        <v>8</v>
      </c>
      <c r="E69" s="16" t="n">
        <v>31</v>
      </c>
      <c r="F69" s="18" t="n">
        <f aca="false">Assumptions_2026!$G$2*U69</f>
        <v>2.89502071136254</v>
      </c>
      <c r="G69" s="19" t="n">
        <f aca="false">Assumptions_2026!$G$3*V69</f>
        <v>0.0423133252973351</v>
      </c>
      <c r="H69" s="20" t="n">
        <f aca="false">Annual_Data!$E$6+(Assumptions_2026!$G$4-Annual_Data!$E$6)*D69/12</f>
        <v>99.1637891720871</v>
      </c>
      <c r="I69" s="21" t="n">
        <f aca="false">Assumptions_2026!$G$5*Y69</f>
        <v>2346.84877451219</v>
      </c>
      <c r="J69" s="21" t="n">
        <f aca="false">Assumptions_2026!$G$6*W69</f>
        <v>16579.6181212783</v>
      </c>
      <c r="K69" s="21" t="n">
        <f aca="false">Assumptions_2026!$G$7*X69</f>
        <v>11880.8375829653</v>
      </c>
      <c r="L69" s="20" t="n">
        <f aca="false">K69*0.0036</f>
        <v>42.771015298675</v>
      </c>
      <c r="M69" s="22" t="n">
        <f aca="false">K69/(I69*E69/1000)</f>
        <v>163.305292364484</v>
      </c>
      <c r="N69" s="18" t="n">
        <f aca="false">LN(F69)</f>
        <v>1.06299226518332</v>
      </c>
      <c r="O69" s="18" t="n">
        <f aca="false">LN(G69)</f>
        <v>-3.16265322368839</v>
      </c>
      <c r="P69" s="18" t="n">
        <f aca="false">LN(I69)</f>
        <v>7.76082876024812</v>
      </c>
      <c r="Q69" s="18" t="n">
        <f aca="false">LN(J69)</f>
        <v>9.71592939593177</v>
      </c>
      <c r="R69" s="18" t="n">
        <f aca="false">LN(M69)</f>
        <v>5.09562140829685</v>
      </c>
      <c r="S69" s="16" t="n">
        <v>0</v>
      </c>
      <c r="T69" s="16" t="s">
        <v>48</v>
      </c>
      <c r="U69" s="23" t="n">
        <v>0.085585229565</v>
      </c>
      <c r="V69" s="23" t="n">
        <v>0.082254073936</v>
      </c>
      <c r="W69" s="23" t="n">
        <v>0.083660540109</v>
      </c>
      <c r="X69" s="23" t="n">
        <v>0.087425335303</v>
      </c>
      <c r="Y69" s="23" t="n">
        <v>1.004594286506</v>
      </c>
    </row>
    <row r="70" customFormat="false" ht="15" hidden="false" customHeight="true" outlineLevel="0" collapsed="false">
      <c r="A70" s="16" t="s">
        <v>13</v>
      </c>
      <c r="B70" s="17" t="n">
        <v>46266</v>
      </c>
      <c r="C70" s="16" t="n">
        <v>2026</v>
      </c>
      <c r="D70" s="16" t="n">
        <v>9</v>
      </c>
      <c r="E70" s="16" t="n">
        <v>30</v>
      </c>
      <c r="F70" s="18" t="n">
        <f aca="false">Assumptions_2026!$G$2*U70</f>
        <v>2.75654328467779</v>
      </c>
      <c r="G70" s="19" t="n">
        <f aca="false">Assumptions_2026!$G$3*V70</f>
        <v>0.0372511845504556</v>
      </c>
      <c r="H70" s="20" t="n">
        <f aca="false">Annual_Data!$E$6+(Assumptions_2026!$G$4-Annual_Data!$E$6)*D70/12</f>
        <v>99.846762818598</v>
      </c>
      <c r="I70" s="21" t="n">
        <f aca="false">Assumptions_2026!$G$5*Y70</f>
        <v>2349.11063775235</v>
      </c>
      <c r="J70" s="21" t="n">
        <f aca="false">Assumptions_2026!$G$6*W70</f>
        <v>17242.9679116784</v>
      </c>
      <c r="K70" s="21" t="n">
        <f aca="false">Assumptions_2026!$G$7*X70</f>
        <v>10910.7595100889</v>
      </c>
      <c r="L70" s="20" t="n">
        <f aca="false">K70*0.0036</f>
        <v>39.2787342363202</v>
      </c>
      <c r="M70" s="22" t="n">
        <f aca="false">K70/(I70*E70/1000)</f>
        <v>154.821138615087</v>
      </c>
      <c r="N70" s="18" t="n">
        <f aca="false">LN(F70)</f>
        <v>1.01397746169152</v>
      </c>
      <c r="O70" s="18" t="n">
        <f aca="false">LN(G70)</f>
        <v>-3.29007153464995</v>
      </c>
      <c r="P70" s="18" t="n">
        <f aca="false">LN(I70)</f>
        <v>7.76179208348689</v>
      </c>
      <c r="Q70" s="18" t="n">
        <f aca="false">LN(J70)</f>
        <v>9.75515968205068</v>
      </c>
      <c r="R70" s="18" t="n">
        <f aca="false">LN(M70)</f>
        <v>5.04227050619396</v>
      </c>
      <c r="S70" s="16" t="n">
        <v>0</v>
      </c>
      <c r="T70" s="16" t="s">
        <v>48</v>
      </c>
      <c r="U70" s="23" t="n">
        <v>0.081491434206</v>
      </c>
      <c r="V70" s="23" t="n">
        <v>0.07241363487</v>
      </c>
      <c r="W70" s="23" t="n">
        <v>0.087007794632</v>
      </c>
      <c r="X70" s="23" t="n">
        <v>0.080287000131</v>
      </c>
      <c r="Y70" s="23" t="n">
        <v>1.005562501805</v>
      </c>
    </row>
    <row r="71" customFormat="false" ht="15" hidden="false" customHeight="true" outlineLevel="0" collapsed="false">
      <c r="A71" s="16" t="s">
        <v>13</v>
      </c>
      <c r="B71" s="17" t="n">
        <v>46296</v>
      </c>
      <c r="C71" s="16" t="n">
        <v>2026</v>
      </c>
      <c r="D71" s="16" t="n">
        <v>10</v>
      </c>
      <c r="E71" s="16" t="n">
        <v>31</v>
      </c>
      <c r="F71" s="18" t="n">
        <f aca="false">Assumptions_2026!$G$2*U71</f>
        <v>2.79026288371418</v>
      </c>
      <c r="G71" s="19" t="n">
        <f aca="false">Assumptions_2026!$G$3*V71</f>
        <v>0.0330970298998424</v>
      </c>
      <c r="H71" s="20" t="n">
        <f aca="false">Annual_Data!$E$6+(Assumptions_2026!$G$4-Annual_Data!$E$6)*D71/12</f>
        <v>100.529736465109</v>
      </c>
      <c r="I71" s="21" t="n">
        <f aca="false">Assumptions_2026!$G$5*Y71</f>
        <v>2387.56012250906</v>
      </c>
      <c r="J71" s="21" t="n">
        <f aca="false">Assumptions_2026!$G$6*W71</f>
        <v>17587.9201752931</v>
      </c>
      <c r="K71" s="21" t="n">
        <f aca="false">Assumptions_2026!$G$7*X71</f>
        <v>11300.382934045</v>
      </c>
      <c r="L71" s="20" t="n">
        <f aca="false">K71*0.0036</f>
        <v>40.6813785625619</v>
      </c>
      <c r="M71" s="22" t="n">
        <f aca="false">K71/(I71*E71/1000)</f>
        <v>152.678241819648</v>
      </c>
      <c r="N71" s="18" t="n">
        <f aca="false">LN(F71)</f>
        <v>1.02613581494798</v>
      </c>
      <c r="O71" s="18" t="n">
        <f aca="false">LN(G71)</f>
        <v>-3.40831173174778</v>
      </c>
      <c r="P71" s="18" t="n">
        <f aca="false">LN(I71)</f>
        <v>7.77802725424057</v>
      </c>
      <c r="Q71" s="18" t="n">
        <f aca="false">LN(J71)</f>
        <v>9.7749675917012</v>
      </c>
      <c r="R71" s="18" t="n">
        <f aca="false">LN(M71)</f>
        <v>5.02833271235125</v>
      </c>
      <c r="S71" s="16" t="n">
        <v>0</v>
      </c>
      <c r="T71" s="16" t="s">
        <v>48</v>
      </c>
      <c r="U71" s="23" t="n">
        <v>0.082488283594</v>
      </c>
      <c r="V71" s="23" t="n">
        <v>0.064338255746</v>
      </c>
      <c r="W71" s="23" t="n">
        <v>0.088748419324</v>
      </c>
      <c r="X71" s="23" t="n">
        <v>0.083154050391</v>
      </c>
      <c r="Y71" s="23" t="n">
        <v>1.022021224295</v>
      </c>
    </row>
    <row r="72" customFormat="false" ht="15" hidden="false" customHeight="true" outlineLevel="0" collapsed="false">
      <c r="A72" s="16" t="s">
        <v>13</v>
      </c>
      <c r="B72" s="17" t="n">
        <v>46327</v>
      </c>
      <c r="C72" s="16" t="n">
        <v>2026</v>
      </c>
      <c r="D72" s="16" t="n">
        <v>11</v>
      </c>
      <c r="E72" s="16" t="n">
        <v>30</v>
      </c>
      <c r="F72" s="18" t="n">
        <f aca="false">Assumptions_2026!$G$2*U72</f>
        <v>2.80150512051886</v>
      </c>
      <c r="G72" s="19" t="n">
        <f aca="false">Assumptions_2026!$G$3*V72</f>
        <v>0.0315138294577739</v>
      </c>
      <c r="H72" s="20" t="n">
        <f aca="false">Annual_Data!$E$6+(Assumptions_2026!$G$4-Annual_Data!$E$6)*D72/12</f>
        <v>101.21271011162</v>
      </c>
      <c r="I72" s="21" t="n">
        <f aca="false">Assumptions_2026!$G$5*Y72</f>
        <v>2352.95269791495</v>
      </c>
      <c r="J72" s="21" t="n">
        <f aca="false">Assumptions_2026!$G$6*W72</f>
        <v>16651.4508564236</v>
      </c>
      <c r="K72" s="21" t="n">
        <f aca="false">Assumptions_2026!$G$7*X72</f>
        <v>11239.2198603425</v>
      </c>
      <c r="L72" s="20" t="n">
        <f aca="false">K72*0.0036</f>
        <v>40.4611914972331</v>
      </c>
      <c r="M72" s="22" t="n">
        <f aca="false">K72/(I72*E72/1000)</f>
        <v>159.221501708641</v>
      </c>
      <c r="N72" s="18" t="n">
        <f aca="false">LN(F72)</f>
        <v>1.0301568157991</v>
      </c>
      <c r="O72" s="18" t="n">
        <f aca="false">LN(G72)</f>
        <v>-3.45732879909068</v>
      </c>
      <c r="P72" s="18" t="n">
        <f aca="false">LN(I72)</f>
        <v>7.76342628564172</v>
      </c>
      <c r="Q72" s="18" t="n">
        <f aca="false">LN(J72)</f>
        <v>9.72025263013619</v>
      </c>
      <c r="R72" s="18" t="n">
        <f aca="false">LN(M72)</f>
        <v>5.0702963252743</v>
      </c>
      <c r="S72" s="16" t="n">
        <v>0</v>
      </c>
      <c r="T72" s="16" t="s">
        <v>48</v>
      </c>
      <c r="U72" s="23" t="n">
        <v>0.082820636801</v>
      </c>
      <c r="V72" s="23" t="n">
        <v>0.061260627474</v>
      </c>
      <c r="W72" s="23" t="n">
        <v>0.084023007168</v>
      </c>
      <c r="X72" s="23" t="n">
        <v>0.082703980925</v>
      </c>
      <c r="Y72" s="23" t="n">
        <v>1.00720713768</v>
      </c>
    </row>
    <row r="73" customFormat="false" ht="15" hidden="false" customHeight="true" outlineLevel="0" collapsed="false">
      <c r="A73" s="16" t="s">
        <v>13</v>
      </c>
      <c r="B73" s="17" t="n">
        <v>46357</v>
      </c>
      <c r="C73" s="16" t="n">
        <v>2026</v>
      </c>
      <c r="D73" s="16" t="n">
        <v>12</v>
      </c>
      <c r="E73" s="16" t="n">
        <v>31</v>
      </c>
      <c r="F73" s="18" t="n">
        <f aca="false">Assumptions_2026!$G$2*U73</f>
        <v>2.9635879875506</v>
      </c>
      <c r="G73" s="19" t="n">
        <f aca="false">Assumptions_2026!$G$3*V73</f>
        <v>0.0319058120346448</v>
      </c>
      <c r="H73" s="20" t="n">
        <f aca="false">Annual_Data!$E$6+(Assumptions_2026!$G$4-Annual_Data!$E$6)*D73/12</f>
        <v>101.895683758131</v>
      </c>
      <c r="I73" s="21" t="n">
        <f aca="false">Assumptions_2026!$G$5*Y73</f>
        <v>2355.05392499801</v>
      </c>
      <c r="J73" s="21" t="n">
        <f aca="false">Assumptions_2026!$G$6*W73</f>
        <v>17335.208969674</v>
      </c>
      <c r="K73" s="21" t="n">
        <f aca="false">Assumptions_2026!$G$7*X73</f>
        <v>11818.9629255836</v>
      </c>
      <c r="L73" s="20" t="n">
        <f aca="false">K73*0.0036</f>
        <v>42.548266532101</v>
      </c>
      <c r="M73" s="22" t="n">
        <f aca="false">K73/(I73*E73/1000)</f>
        <v>161.888806247838</v>
      </c>
      <c r="N73" s="18" t="n">
        <f aca="false">LN(F73)</f>
        <v>1.08640069222194</v>
      </c>
      <c r="O73" s="18" t="n">
        <f aca="false">LN(G73)</f>
        <v>-3.4449670903435</v>
      </c>
      <c r="P73" s="18" t="n">
        <f aca="false">LN(I73)</f>
        <v>7.76431890427669</v>
      </c>
      <c r="Q73" s="18" t="n">
        <f aca="false">LN(J73)</f>
        <v>9.76049491283008</v>
      </c>
      <c r="R73" s="18" t="n">
        <f aca="false">LN(M73)</f>
        <v>5.08690971837879</v>
      </c>
      <c r="S73" s="16" t="n">
        <v>0</v>
      </c>
      <c r="T73" s="16" t="s">
        <v>48</v>
      </c>
      <c r="U73" s="23" t="n">
        <v>0.08761227761</v>
      </c>
      <c r="V73" s="23" t="n">
        <v>0.06202261353</v>
      </c>
      <c r="W73" s="23" t="n">
        <v>0.087473241826</v>
      </c>
      <c r="X73" s="23" t="n">
        <v>0.086970029637</v>
      </c>
      <c r="Y73" s="23" t="n">
        <v>1.008106590915</v>
      </c>
    </row>
    <row r="74" customFormat="false" ht="15" hidden="false" customHeight="true" outlineLevel="0" collapsed="false">
      <c r="A74" s="3" t="s">
        <v>16</v>
      </c>
      <c r="B74" s="9" t="n">
        <v>44197</v>
      </c>
      <c r="C74" s="3" t="n">
        <v>2021</v>
      </c>
      <c r="D74" s="3" t="n">
        <v>1</v>
      </c>
      <c r="E74" s="3" t="n">
        <v>31</v>
      </c>
      <c r="F74" s="10" t="n">
        <f aca="false">Annual_Data!$C$7*U74</f>
        <v>4.954868281983</v>
      </c>
      <c r="G74" s="11" t="n">
        <f aca="false">Annual_Data!$D$7*V74</f>
        <v>0.197547054528</v>
      </c>
      <c r="H74" s="12" t="n">
        <f aca="false">(2*Annual_Data!$E$7-Annual_Data!$E$8)+(Annual_Data!$E$7-(2*Annual_Data!$E$7-Annual_Data!$E$8))*D74/12</f>
        <v>36.7666666666667</v>
      </c>
      <c r="I74" s="13" t="n">
        <f aca="false">Annual_Data!$F$7*Y74</f>
        <v>3107.80562593791</v>
      </c>
      <c r="J74" s="13" t="n">
        <f aca="false">Annual_Data!$H$7*W74</f>
        <v>10881.2195076623</v>
      </c>
      <c r="K74" s="13" t="n">
        <f aca="false">Annual_Data!$I$7*X74</f>
        <v>18144.1141698266</v>
      </c>
      <c r="L74" s="12" t="n">
        <f aca="false">K74*0.0036</f>
        <v>65.3188110113757</v>
      </c>
      <c r="M74" s="14" t="n">
        <f aca="false">K74/(I74*E74/1000)</f>
        <v>188.330312743301</v>
      </c>
      <c r="N74" s="10" t="n">
        <f aca="false">LN(F74)</f>
        <v>1.60037058457958</v>
      </c>
      <c r="O74" s="10" t="n">
        <f aca="false">LN(G74)</f>
        <v>-1.62177847224349</v>
      </c>
      <c r="P74" s="10" t="n">
        <f aca="false">LN(I74)</f>
        <v>8.04167216961482</v>
      </c>
      <c r="Q74" s="10" t="n">
        <f aca="false">LN(J74)</f>
        <v>9.29479360122996</v>
      </c>
      <c r="R74" s="10" t="n">
        <f aca="false">LN(M74)</f>
        <v>5.23819740381857</v>
      </c>
      <c r="S74" s="3" t="n">
        <v>0</v>
      </c>
      <c r="T74" s="3" t="s">
        <v>47</v>
      </c>
      <c r="U74" s="15" t="n">
        <v>0.086927513719</v>
      </c>
      <c r="V74" s="15" t="n">
        <v>0.098773527264</v>
      </c>
      <c r="W74" s="15" t="n">
        <v>0.069928020177</v>
      </c>
      <c r="X74" s="15" t="n">
        <v>0.088149685278</v>
      </c>
      <c r="Y74" s="15" t="n">
        <v>1.00284144109</v>
      </c>
    </row>
    <row r="75" customFormat="false" ht="15" hidden="false" customHeight="true" outlineLevel="0" collapsed="false">
      <c r="A75" s="3" t="s">
        <v>16</v>
      </c>
      <c r="B75" s="9" t="n">
        <v>44228</v>
      </c>
      <c r="C75" s="3" t="n">
        <v>2021</v>
      </c>
      <c r="D75" s="3" t="n">
        <v>2</v>
      </c>
      <c r="E75" s="3" t="n">
        <v>28</v>
      </c>
      <c r="F75" s="10" t="n">
        <f aca="false">Annual_Data!$C$7*U75</f>
        <v>4.502179683702</v>
      </c>
      <c r="G75" s="11" t="n">
        <f aca="false">Annual_Data!$D$7*V75</f>
        <v>0.175200613274</v>
      </c>
      <c r="H75" s="12" t="n">
        <f aca="false">(2*Annual_Data!$E$7-Annual_Data!$E$8)+(Annual_Data!$E$7-(2*Annual_Data!$E$7-Annual_Data!$E$8))*D75/12</f>
        <v>36.8333333333333</v>
      </c>
      <c r="I75" s="13" t="n">
        <f aca="false">Annual_Data!$F$7*Y75</f>
        <v>3138.25184296688</v>
      </c>
      <c r="J75" s="13" t="n">
        <f aca="false">Annual_Data!$H$7*W75</f>
        <v>10122.4805764967</v>
      </c>
      <c r="K75" s="13" t="n">
        <f aca="false">Annual_Data!$I$7*X75</f>
        <v>16472.6105628394</v>
      </c>
      <c r="L75" s="12" t="n">
        <f aca="false">K75*0.0036</f>
        <v>59.3013980262218</v>
      </c>
      <c r="M75" s="14" t="n">
        <f aca="false">K75/(I75*E75/1000)</f>
        <v>187.463450844412</v>
      </c>
      <c r="N75" s="10" t="n">
        <f aca="false">LN(F75)</f>
        <v>1.50456165366098</v>
      </c>
      <c r="O75" s="10" t="n">
        <f aca="false">LN(G75)</f>
        <v>-1.7418236000636</v>
      </c>
      <c r="P75" s="10" t="n">
        <f aca="false">LN(I75)</f>
        <v>8.05142118595757</v>
      </c>
      <c r="Q75" s="10" t="n">
        <f aca="false">LN(J75)</f>
        <v>9.22251402905999</v>
      </c>
      <c r="R75" s="10" t="n">
        <f aca="false">LN(M75)</f>
        <v>5.23358389757957</v>
      </c>
      <c r="S75" s="3" t="n">
        <v>0</v>
      </c>
      <c r="T75" s="3" t="s">
        <v>47</v>
      </c>
      <c r="U75" s="15" t="n">
        <v>0.078985608486</v>
      </c>
      <c r="V75" s="15" t="n">
        <v>0.087600306637</v>
      </c>
      <c r="W75" s="15" t="n">
        <v>0.065051993988</v>
      </c>
      <c r="X75" s="15" t="n">
        <v>0.08002900683</v>
      </c>
      <c r="Y75" s="15" t="n">
        <v>1.012665970625</v>
      </c>
    </row>
    <row r="76" customFormat="false" ht="15" hidden="false" customHeight="true" outlineLevel="0" collapsed="false">
      <c r="A76" s="3" t="s">
        <v>16</v>
      </c>
      <c r="B76" s="9" t="n">
        <v>44256</v>
      </c>
      <c r="C76" s="3" t="n">
        <v>2021</v>
      </c>
      <c r="D76" s="3" t="n">
        <v>3</v>
      </c>
      <c r="E76" s="3" t="n">
        <v>31</v>
      </c>
      <c r="F76" s="10" t="n">
        <f aca="false">Annual_Data!$C$7*U76</f>
        <v>5.004640318095</v>
      </c>
      <c r="G76" s="11" t="n">
        <f aca="false">Annual_Data!$D$7*V76</f>
        <v>0.187228061352</v>
      </c>
      <c r="H76" s="12" t="n">
        <f aca="false">(2*Annual_Data!$E$7-Annual_Data!$E$8)+(Annual_Data!$E$7-(2*Annual_Data!$E$7-Annual_Data!$E$8))*D76/12</f>
        <v>36.9</v>
      </c>
      <c r="I76" s="13" t="n">
        <f aca="false">Annual_Data!$F$7*Y76</f>
        <v>3163.94990079814</v>
      </c>
      <c r="J76" s="13" t="n">
        <f aca="false">Annual_Data!$H$7*W76</f>
        <v>11660.5005227949</v>
      </c>
      <c r="K76" s="13" t="n">
        <f aca="false">Annual_Data!$I$7*X76</f>
        <v>18099.8680224504</v>
      </c>
      <c r="L76" s="12" t="n">
        <f aca="false">K76*0.0036</f>
        <v>65.1595248808213</v>
      </c>
      <c r="M76" s="14" t="n">
        <f aca="false">K76/(I76*E76/1000)</f>
        <v>184.537280522153</v>
      </c>
      <c r="N76" s="10" t="n">
        <f aca="false">LN(F76)</f>
        <v>1.61036554566832</v>
      </c>
      <c r="O76" s="10" t="n">
        <f aca="false">LN(G76)</f>
        <v>-1.67542782578797</v>
      </c>
      <c r="P76" s="10" t="n">
        <f aca="false">LN(I76)</f>
        <v>8.05957649462759</v>
      </c>
      <c r="Q76" s="10" t="n">
        <f aca="false">LN(J76)</f>
        <v>9.36396238546643</v>
      </c>
      <c r="R76" s="10" t="n">
        <f aca="false">LN(M76)</f>
        <v>5.21785150551941</v>
      </c>
      <c r="S76" s="3" t="n">
        <v>0</v>
      </c>
      <c r="T76" s="3" t="s">
        <v>47</v>
      </c>
      <c r="U76" s="15" t="n">
        <v>0.087800707335</v>
      </c>
      <c r="V76" s="15" t="n">
        <v>0.093614030676</v>
      </c>
      <c r="W76" s="15" t="n">
        <v>0.07493605981</v>
      </c>
      <c r="X76" s="15" t="n">
        <v>0.08793472389</v>
      </c>
      <c r="Y76" s="15" t="n">
        <v>1.020958341658</v>
      </c>
    </row>
    <row r="77" customFormat="false" ht="15" hidden="false" customHeight="true" outlineLevel="0" collapsed="false">
      <c r="A77" s="3" t="s">
        <v>16</v>
      </c>
      <c r="B77" s="9" t="n">
        <v>44287</v>
      </c>
      <c r="C77" s="3" t="n">
        <v>2021</v>
      </c>
      <c r="D77" s="3" t="n">
        <v>4</v>
      </c>
      <c r="E77" s="3" t="n">
        <v>30</v>
      </c>
      <c r="F77" s="10" t="n">
        <f aca="false">Annual_Data!$C$7*U77</f>
        <v>4.62123843051</v>
      </c>
      <c r="G77" s="11" t="n">
        <f aca="false">Annual_Data!$D$7*V77</f>
        <v>0.171439726022</v>
      </c>
      <c r="H77" s="12" t="n">
        <f aca="false">(2*Annual_Data!$E$7-Annual_Data!$E$8)+(Annual_Data!$E$7-(2*Annual_Data!$E$7-Annual_Data!$E$8))*D77/12</f>
        <v>36.9666666666667</v>
      </c>
      <c r="I77" s="13" t="n">
        <f aca="false">Annual_Data!$F$7*Y77</f>
        <v>3148.33935416478</v>
      </c>
      <c r="J77" s="13" t="n">
        <f aca="false">Annual_Data!$H$7*W77</f>
        <v>10826.8892792347</v>
      </c>
      <c r="K77" s="13" t="n">
        <f aca="false">Annual_Data!$I$7*X77</f>
        <v>17008.8642069169</v>
      </c>
      <c r="L77" s="12" t="n">
        <f aca="false">K77*0.0036</f>
        <v>61.2319111449007</v>
      </c>
      <c r="M77" s="14" t="n">
        <f aca="false">K77/(I77*E77/1000)</f>
        <v>180.082918787188</v>
      </c>
      <c r="N77" s="10" t="n">
        <f aca="false">LN(F77)</f>
        <v>1.53066272772432</v>
      </c>
      <c r="O77" s="10" t="n">
        <f aca="false">LN(G77)</f>
        <v>-1.76352352591655</v>
      </c>
      <c r="P77" s="10" t="n">
        <f aca="false">LN(I77)</f>
        <v>8.05463040365258</v>
      </c>
      <c r="Q77" s="10" t="n">
        <f aca="false">LN(J77)</f>
        <v>9.28978806690179</v>
      </c>
      <c r="R77" s="10" t="n">
        <f aca="false">LN(M77)</f>
        <v>5.19341740474782</v>
      </c>
      <c r="S77" s="3" t="n">
        <v>0</v>
      </c>
      <c r="T77" s="3" t="s">
        <v>47</v>
      </c>
      <c r="U77" s="15" t="n">
        <v>0.08107435843</v>
      </c>
      <c r="V77" s="15" t="n">
        <v>0.085719863011</v>
      </c>
      <c r="W77" s="15" t="n">
        <v>0.069578867648</v>
      </c>
      <c r="X77" s="15" t="n">
        <v>0.082634291911</v>
      </c>
      <c r="Y77" s="15" t="n">
        <v>1.015921056523</v>
      </c>
    </row>
    <row r="78" customFormat="false" ht="15" hidden="false" customHeight="true" outlineLevel="0" collapsed="false">
      <c r="A78" s="3" t="s">
        <v>16</v>
      </c>
      <c r="B78" s="9" t="n">
        <v>44317</v>
      </c>
      <c r="C78" s="3" t="n">
        <v>2021</v>
      </c>
      <c r="D78" s="3" t="n">
        <v>5</v>
      </c>
      <c r="E78" s="3" t="n">
        <v>31</v>
      </c>
      <c r="F78" s="10" t="n">
        <f aca="false">Annual_Data!$C$7*U78</f>
        <v>4.78082348055</v>
      </c>
      <c r="G78" s="11" t="n">
        <f aca="false">Annual_Data!$D$7*V78</f>
        <v>0.18060491441</v>
      </c>
      <c r="H78" s="12" t="n">
        <f aca="false">(2*Annual_Data!$E$7-Annual_Data!$E$8)+(Annual_Data!$E$7-(2*Annual_Data!$E$7-Annual_Data!$E$8))*D78/12</f>
        <v>37.0333333333333</v>
      </c>
      <c r="I78" s="13" t="n">
        <f aca="false">Annual_Data!$F$7*Y78</f>
        <v>3124.03315051961</v>
      </c>
      <c r="J78" s="13" t="n">
        <f aca="false">Annual_Data!$H$7*W78</f>
        <v>12245.7143451776</v>
      </c>
      <c r="K78" s="13" t="n">
        <f aca="false">Annual_Data!$I$7*X78</f>
        <v>17486.2685148446</v>
      </c>
      <c r="L78" s="12" t="n">
        <f aca="false">K78*0.0036</f>
        <v>62.9505666534404</v>
      </c>
      <c r="M78" s="14" t="n">
        <f aca="false">K78/(I78*E78/1000)</f>
        <v>180.559280494316</v>
      </c>
      <c r="N78" s="10" t="n">
        <f aca="false">LN(F78)</f>
        <v>1.5646128079312</v>
      </c>
      <c r="O78" s="10" t="n">
        <f aca="false">LN(G78)</f>
        <v>-1.71144342679694</v>
      </c>
      <c r="P78" s="10" t="n">
        <f aca="false">LN(I78)</f>
        <v>8.04688012246525</v>
      </c>
      <c r="Q78" s="10" t="n">
        <f aca="false">LN(J78)</f>
        <v>9.41293130538805</v>
      </c>
      <c r="R78" s="10" t="n">
        <f aca="false">LN(M78)</f>
        <v>5.19605914764487</v>
      </c>
      <c r="S78" s="3" t="n">
        <v>0</v>
      </c>
      <c r="T78" s="3" t="s">
        <v>47</v>
      </c>
      <c r="U78" s="15" t="n">
        <v>0.08387409615</v>
      </c>
      <c r="V78" s="15" t="n">
        <v>0.090302457205</v>
      </c>
      <c r="W78" s="15" t="n">
        <v>0.078696929072</v>
      </c>
      <c r="X78" s="15" t="n">
        <v>0.084953668823</v>
      </c>
      <c r="Y78" s="15" t="n">
        <v>1.008077815592</v>
      </c>
    </row>
    <row r="79" customFormat="false" ht="15" hidden="false" customHeight="true" outlineLevel="0" collapsed="false">
      <c r="A79" s="3" t="s">
        <v>16</v>
      </c>
      <c r="B79" s="9" t="n">
        <v>44348</v>
      </c>
      <c r="C79" s="3" t="n">
        <v>2021</v>
      </c>
      <c r="D79" s="3" t="n">
        <v>6</v>
      </c>
      <c r="E79" s="3" t="n">
        <v>30</v>
      </c>
      <c r="F79" s="10" t="n">
        <f aca="false">Annual_Data!$C$7*U79</f>
        <v>4.638209663919</v>
      </c>
      <c r="G79" s="11" t="n">
        <f aca="false">Annual_Data!$D$7*V79</f>
        <v>0.173704478936</v>
      </c>
      <c r="H79" s="12" t="n">
        <f aca="false">(2*Annual_Data!$E$7-Annual_Data!$E$8)+(Annual_Data!$E$7-(2*Annual_Data!$E$7-Annual_Data!$E$8))*D79/12</f>
        <v>37.1</v>
      </c>
      <c r="I79" s="13" t="n">
        <f aca="false">Annual_Data!$F$7*Y79</f>
        <v>3083.24222094269</v>
      </c>
      <c r="J79" s="13" t="n">
        <f aca="false">Annual_Data!$H$7*W79</f>
        <v>12088.7880049267</v>
      </c>
      <c r="K79" s="13" t="n">
        <f aca="false">Annual_Data!$I$7*X79</f>
        <v>16765.1269893661</v>
      </c>
      <c r="L79" s="12" t="n">
        <f aca="false">K79*0.0036</f>
        <v>60.3544571617181</v>
      </c>
      <c r="M79" s="14" t="n">
        <f aca="false">K79/(I79*E79/1000)</f>
        <v>181.249972031501</v>
      </c>
      <c r="N79" s="10" t="n">
        <f aca="false">LN(F79)</f>
        <v>1.53432844348624</v>
      </c>
      <c r="O79" s="10" t="n">
        <f aca="false">LN(G79)</f>
        <v>-1.75039982059832</v>
      </c>
      <c r="P79" s="10" t="n">
        <f aca="false">LN(I79)</f>
        <v>8.03373699143722</v>
      </c>
      <c r="Q79" s="10" t="n">
        <f aca="false">LN(J79)</f>
        <v>9.40003369085225</v>
      </c>
      <c r="R79" s="10" t="n">
        <f aca="false">LN(M79)</f>
        <v>5.19987713942581</v>
      </c>
      <c r="S79" s="3" t="n">
        <v>0</v>
      </c>
      <c r="T79" s="3" t="s">
        <v>47</v>
      </c>
      <c r="U79" s="15" t="n">
        <v>0.081372099367</v>
      </c>
      <c r="V79" s="15" t="n">
        <v>0.086852239468</v>
      </c>
      <c r="W79" s="15" t="n">
        <v>0.077688443922</v>
      </c>
      <c r="X79" s="15" t="n">
        <v>0.081450141568</v>
      </c>
      <c r="Y79" s="15" t="n">
        <v>0.994915205209</v>
      </c>
    </row>
    <row r="80" customFormat="false" ht="15" hidden="false" customHeight="true" outlineLevel="0" collapsed="false">
      <c r="A80" s="3" t="s">
        <v>16</v>
      </c>
      <c r="B80" s="9" t="n">
        <v>44378</v>
      </c>
      <c r="C80" s="3" t="n">
        <v>2021</v>
      </c>
      <c r="D80" s="3" t="n">
        <v>7</v>
      </c>
      <c r="E80" s="3" t="n">
        <v>31</v>
      </c>
      <c r="F80" s="10" t="n">
        <f aca="false">Annual_Data!$C$7*U80</f>
        <v>4.846525875864</v>
      </c>
      <c r="G80" s="11" t="n">
        <f aca="false">Annual_Data!$D$7*V80</f>
        <v>0.179921629176</v>
      </c>
      <c r="H80" s="12" t="n">
        <f aca="false">(2*Annual_Data!$E$7-Annual_Data!$E$8)+(Annual_Data!$E$7-(2*Annual_Data!$E$7-Annual_Data!$E$8))*D80/12</f>
        <v>37.1666666666667</v>
      </c>
      <c r="I80" s="13" t="n">
        <f aca="false">Annual_Data!$F$7*Y80</f>
        <v>3063.87112573725</v>
      </c>
      <c r="J80" s="13" t="n">
        <f aca="false">Annual_Data!$H$7*W80</f>
        <v>13088.3101506472</v>
      </c>
      <c r="K80" s="13" t="n">
        <f aca="false">Annual_Data!$I$7*X80</f>
        <v>17526.6964670691</v>
      </c>
      <c r="L80" s="12" t="n">
        <f aca="false">K80*0.0036</f>
        <v>63.0961072814487</v>
      </c>
      <c r="M80" s="14" t="n">
        <f aca="false">K80/(I80*E80/1000)</f>
        <v>184.530380746116</v>
      </c>
      <c r="N80" s="10" t="n">
        <f aca="false">LN(F80)</f>
        <v>1.57826213401891</v>
      </c>
      <c r="O80" s="10" t="n">
        <f aca="false">LN(G80)</f>
        <v>-1.71523391636985</v>
      </c>
      <c r="P80" s="10" t="n">
        <f aca="false">LN(I80)</f>
        <v>8.02743446918519</v>
      </c>
      <c r="Q80" s="10" t="n">
        <f aca="false">LN(J80)</f>
        <v>9.47947475589116</v>
      </c>
      <c r="R80" s="10" t="n">
        <f aca="false">LN(M80)</f>
        <v>5.21781411521534</v>
      </c>
      <c r="S80" s="3" t="n">
        <v>0</v>
      </c>
      <c r="T80" s="3" t="s">
        <v>47</v>
      </c>
      <c r="U80" s="15" t="n">
        <v>0.085026769752</v>
      </c>
      <c r="V80" s="15" t="n">
        <v>0.089960814588</v>
      </c>
      <c r="W80" s="15" t="n">
        <v>0.084111860408</v>
      </c>
      <c r="X80" s="15" t="n">
        <v>0.085150080245</v>
      </c>
      <c r="Y80" s="15" t="n">
        <v>0.988664448447</v>
      </c>
    </row>
    <row r="81" customFormat="false" ht="15" hidden="false" customHeight="true" outlineLevel="0" collapsed="false">
      <c r="A81" s="3" t="s">
        <v>16</v>
      </c>
      <c r="B81" s="9" t="n">
        <v>44409</v>
      </c>
      <c r="C81" s="3" t="n">
        <v>2021</v>
      </c>
      <c r="D81" s="3" t="n">
        <v>8</v>
      </c>
      <c r="E81" s="3" t="n">
        <v>31</v>
      </c>
      <c r="F81" s="10" t="n">
        <f aca="false">Annual_Data!$C$7*U81</f>
        <v>4.863567609324</v>
      </c>
      <c r="G81" s="11" t="n">
        <f aca="false">Annual_Data!$D$7*V81</f>
        <v>0.169761887378</v>
      </c>
      <c r="H81" s="12" t="n">
        <f aca="false">(2*Annual_Data!$E$7-Annual_Data!$E$8)+(Annual_Data!$E$7-(2*Annual_Data!$E$7-Annual_Data!$E$8))*D81/12</f>
        <v>37.2333333333333</v>
      </c>
      <c r="I81" s="13" t="n">
        <f aca="false">Annual_Data!$F$7*Y81</f>
        <v>3032.91566403647</v>
      </c>
      <c r="J81" s="13" t="n">
        <f aca="false">Annual_Data!$H$7*W81</f>
        <v>13222.3917149542</v>
      </c>
      <c r="K81" s="13" t="n">
        <f aca="false">Annual_Data!$I$7*X81</f>
        <v>17209.195436145</v>
      </c>
      <c r="L81" s="12" t="n">
        <f aca="false">K81*0.0036</f>
        <v>61.9531035701219</v>
      </c>
      <c r="M81" s="14" t="n">
        <f aca="false">K81/(I81*E81/1000)</f>
        <v>183.036852370308</v>
      </c>
      <c r="N81" s="10" t="n">
        <f aca="false">LN(F81)</f>
        <v>1.581772244603</v>
      </c>
      <c r="O81" s="10" t="n">
        <f aca="false">LN(G81)</f>
        <v>-1.77335848625885</v>
      </c>
      <c r="P81" s="10" t="n">
        <f aca="false">LN(I81)</f>
        <v>8.01727970118147</v>
      </c>
      <c r="Q81" s="10" t="n">
        <f aca="false">LN(J81)</f>
        <v>9.48966701345333</v>
      </c>
      <c r="R81" s="10" t="n">
        <f aca="false">LN(M81)</f>
        <v>5.2096875116401</v>
      </c>
      <c r="S81" s="3" t="n">
        <v>0</v>
      </c>
      <c r="T81" s="3" t="s">
        <v>47</v>
      </c>
      <c r="U81" s="15" t="n">
        <v>0.085325747532</v>
      </c>
      <c r="V81" s="15" t="n">
        <v>0.084880943689</v>
      </c>
      <c r="W81" s="15" t="n">
        <v>0.084973533893</v>
      </c>
      <c r="X81" s="15" t="n">
        <v>0.083607562617</v>
      </c>
      <c r="Y81" s="15" t="n">
        <v>0.978675593429</v>
      </c>
    </row>
    <row r="82" customFormat="false" ht="15" hidden="false" customHeight="true" outlineLevel="0" collapsed="false">
      <c r="A82" s="3" t="s">
        <v>16</v>
      </c>
      <c r="B82" s="9" t="n">
        <v>44440</v>
      </c>
      <c r="C82" s="3" t="n">
        <v>2021</v>
      </c>
      <c r="D82" s="3" t="n">
        <v>9</v>
      </c>
      <c r="E82" s="3" t="n">
        <v>30</v>
      </c>
      <c r="F82" s="10" t="n">
        <f aca="false">Annual_Data!$C$7*U82</f>
        <v>4.594402603365</v>
      </c>
      <c r="G82" s="11" t="n">
        <f aca="false">Annual_Data!$D$7*V82</f>
        <v>0.151600451832</v>
      </c>
      <c r="H82" s="12" t="n">
        <f aca="false">(2*Annual_Data!$E$7-Annual_Data!$E$8)+(Annual_Data!$E$7-(2*Annual_Data!$E$7-Annual_Data!$E$8))*D82/12</f>
        <v>37.3</v>
      </c>
      <c r="I82" s="13" t="n">
        <f aca="false">Annual_Data!$F$7*Y82</f>
        <v>3107.50985312298</v>
      </c>
      <c r="J82" s="13" t="n">
        <f aca="false">Annual_Data!$H$7*W82</f>
        <v>13597.8602348261</v>
      </c>
      <c r="K82" s="13" t="n">
        <f aca="false">Annual_Data!$I$7*X82</f>
        <v>16506.9125098188</v>
      </c>
      <c r="L82" s="12" t="n">
        <f aca="false">K82*0.0036</f>
        <v>59.4248850353475</v>
      </c>
      <c r="M82" s="14" t="n">
        <f aca="false">K82/(I82*E82/1000)</f>
        <v>177.064737684094</v>
      </c>
      <c r="N82" s="10" t="n">
        <f aca="false">LN(F82)</f>
        <v>1.52483873720652</v>
      </c>
      <c r="O82" s="10" t="n">
        <f aca="false">LN(G82)</f>
        <v>-1.88650682535614</v>
      </c>
      <c r="P82" s="10" t="n">
        <f aca="false">LN(I82)</f>
        <v>8.04157699413543</v>
      </c>
      <c r="Q82" s="10" t="n">
        <f aca="false">LN(J82)</f>
        <v>9.51766772367103</v>
      </c>
      <c r="R82" s="10" t="n">
        <f aca="false">LN(M82)</f>
        <v>5.17651541533139</v>
      </c>
      <c r="S82" s="3" t="n">
        <v>0</v>
      </c>
      <c r="T82" s="3" t="s">
        <v>47</v>
      </c>
      <c r="U82" s="15" t="n">
        <v>0.080603554445</v>
      </c>
      <c r="V82" s="15" t="n">
        <v>0.075800225916</v>
      </c>
      <c r="W82" s="15" t="n">
        <v>0.087386477609</v>
      </c>
      <c r="X82" s="15" t="n">
        <v>0.080195656235</v>
      </c>
      <c r="Y82" s="15" t="n">
        <v>1.002745999717</v>
      </c>
    </row>
    <row r="83" customFormat="false" ht="15" hidden="false" customHeight="true" outlineLevel="0" collapsed="false">
      <c r="A83" s="3" t="s">
        <v>16</v>
      </c>
      <c r="B83" s="9" t="n">
        <v>44470</v>
      </c>
      <c r="C83" s="3" t="n">
        <v>2021</v>
      </c>
      <c r="D83" s="3" t="n">
        <v>10</v>
      </c>
      <c r="E83" s="3" t="n">
        <v>31</v>
      </c>
      <c r="F83" s="10" t="n">
        <f aca="false">Annual_Data!$C$7*U83</f>
        <v>4.661511154422</v>
      </c>
      <c r="G83" s="11" t="n">
        <f aca="false">Annual_Data!$D$7*V83</f>
        <v>0.146580501122</v>
      </c>
      <c r="H83" s="12" t="n">
        <f aca="false">(2*Annual_Data!$E$7-Annual_Data!$E$8)+(Annual_Data!$E$7-(2*Annual_Data!$E$7-Annual_Data!$E$8))*D83/12</f>
        <v>37.3666666666667</v>
      </c>
      <c r="I83" s="13" t="n">
        <f aca="false">Annual_Data!$F$7*Y83</f>
        <v>3087.53075544486</v>
      </c>
      <c r="J83" s="13" t="n">
        <f aca="false">Annual_Data!$H$7*W83</f>
        <v>15450.1241198421</v>
      </c>
      <c r="K83" s="13" t="n">
        <f aca="false">Annual_Data!$I$7*X83</f>
        <v>16650.8831210551</v>
      </c>
      <c r="L83" s="12" t="n">
        <f aca="false">K83*0.0036</f>
        <v>59.9431792357983</v>
      </c>
      <c r="M83" s="14" t="n">
        <f aca="false">K83/(I83*E83/1000)</f>
        <v>173.965963261191</v>
      </c>
      <c r="N83" s="10" t="n">
        <f aca="false">LN(F83)</f>
        <v>1.5393396776343</v>
      </c>
      <c r="O83" s="10" t="n">
        <f aca="false">LN(G83)</f>
        <v>-1.92018050572919</v>
      </c>
      <c r="P83" s="10" t="n">
        <f aca="false">LN(I83)</f>
        <v>8.03512694216431</v>
      </c>
      <c r="Q83" s="10" t="n">
        <f aca="false">LN(J83)</f>
        <v>9.64537231594036</v>
      </c>
      <c r="R83" s="10" t="n">
        <f aca="false">LN(M83)</f>
        <v>5.15885966663829</v>
      </c>
      <c r="S83" s="3" t="n">
        <v>0</v>
      </c>
      <c r="T83" s="3" t="s">
        <v>47</v>
      </c>
      <c r="U83" s="15" t="n">
        <v>0.081780897446</v>
      </c>
      <c r="V83" s="15" t="n">
        <v>0.073290250561</v>
      </c>
      <c r="W83" s="15" t="n">
        <v>0.099290028147</v>
      </c>
      <c r="X83" s="15" t="n">
        <v>0.08089510973</v>
      </c>
      <c r="Y83" s="15" t="n">
        <v>0.996299049837</v>
      </c>
    </row>
    <row r="84" customFormat="false" ht="15" hidden="false" customHeight="true" outlineLevel="0" collapsed="false">
      <c r="A84" s="3" t="s">
        <v>16</v>
      </c>
      <c r="B84" s="9" t="n">
        <v>44501</v>
      </c>
      <c r="C84" s="3" t="n">
        <v>2021</v>
      </c>
      <c r="D84" s="3" t="n">
        <v>11</v>
      </c>
      <c r="E84" s="3" t="n">
        <v>30</v>
      </c>
      <c r="F84" s="10" t="n">
        <f aca="false">Annual_Data!$C$7*U84</f>
        <v>4.692507135801</v>
      </c>
      <c r="G84" s="11" t="n">
        <f aca="false">Annual_Data!$D$7*V84</f>
        <v>0.136039846784</v>
      </c>
      <c r="H84" s="12" t="n">
        <f aca="false">(2*Annual_Data!$E$7-Annual_Data!$E$8)+(Annual_Data!$E$7-(2*Annual_Data!$E$7-Annual_Data!$E$8))*D84/12</f>
        <v>37.4333333333333</v>
      </c>
      <c r="I84" s="13" t="n">
        <f aca="false">Annual_Data!$F$7*Y84</f>
        <v>3078.46313265584</v>
      </c>
      <c r="J84" s="13" t="n">
        <f aca="false">Annual_Data!$H$7*W84</f>
        <v>15224.0920483213</v>
      </c>
      <c r="K84" s="13" t="n">
        <f aca="false">Annual_Data!$I$7*X84</f>
        <v>16672.9944725538</v>
      </c>
      <c r="L84" s="12" t="n">
        <f aca="false">K84*0.0036</f>
        <v>60.0227801011938</v>
      </c>
      <c r="M84" s="14" t="n">
        <f aca="false">K84/(I84*E84/1000)</f>
        <v>180.533746375904</v>
      </c>
      <c r="N84" s="10" t="n">
        <f aca="false">LN(F84)</f>
        <v>1.54596701015952</v>
      </c>
      <c r="O84" s="10" t="n">
        <f aca="false">LN(G84)</f>
        <v>-1.99480744510076</v>
      </c>
      <c r="P84" s="10" t="n">
        <f aca="false">LN(I84)</f>
        <v>8.03218576853027</v>
      </c>
      <c r="Q84" s="10" t="n">
        <f aca="false">LN(J84)</f>
        <v>9.63063445522159</v>
      </c>
      <c r="R84" s="10" t="n">
        <f aca="false">LN(M84)</f>
        <v>5.19591772082932</v>
      </c>
      <c r="S84" s="3" t="n">
        <v>0</v>
      </c>
      <c r="T84" s="3" t="s">
        <v>47</v>
      </c>
      <c r="U84" s="15" t="n">
        <v>0.082324686593</v>
      </c>
      <c r="V84" s="15" t="n">
        <v>0.068019923392</v>
      </c>
      <c r="W84" s="15" t="n">
        <v>0.097837435885</v>
      </c>
      <c r="X84" s="15" t="n">
        <v>0.081002533474</v>
      </c>
      <c r="Y84" s="15" t="n">
        <v>0.993373066362</v>
      </c>
    </row>
    <row r="85" customFormat="false" ht="15" hidden="false" customHeight="true" outlineLevel="0" collapsed="false">
      <c r="A85" s="3" t="s">
        <v>16</v>
      </c>
      <c r="B85" s="9" t="n">
        <v>44531</v>
      </c>
      <c r="C85" s="3" t="n">
        <v>2021</v>
      </c>
      <c r="D85" s="3" t="n">
        <v>12</v>
      </c>
      <c r="E85" s="3" t="n">
        <v>31</v>
      </c>
      <c r="F85" s="10" t="n">
        <f aca="false">Annual_Data!$C$7*U85</f>
        <v>4.839525762465</v>
      </c>
      <c r="G85" s="11" t="n">
        <f aca="false">Annual_Data!$D$7*V85</f>
        <v>0.130370835186</v>
      </c>
      <c r="H85" s="12" t="n">
        <f aca="false">(2*Annual_Data!$E$7-Annual_Data!$E$8)+(Annual_Data!$E$7-(2*Annual_Data!$E$7-Annual_Data!$E$8))*D85/12</f>
        <v>37.5</v>
      </c>
      <c r="I85" s="13" t="n">
        <f aca="false">Annual_Data!$F$7*Y85</f>
        <v>3056.58124753978</v>
      </c>
      <c r="J85" s="13" t="n">
        <f aca="false">Annual_Data!$H$7*W85</f>
        <v>17197.6294951162</v>
      </c>
      <c r="K85" s="13" t="n">
        <f aca="false">Annual_Data!$I$7*X85</f>
        <v>17289.4655269085</v>
      </c>
      <c r="L85" s="12" t="n">
        <f aca="false">K85*0.0036</f>
        <v>62.2420758968707</v>
      </c>
      <c r="M85" s="14" t="n">
        <f aca="false">K85/(I85*E85/1000)</f>
        <v>182.466831158279</v>
      </c>
      <c r="N85" s="10" t="n">
        <f aca="false">LN(F85)</f>
        <v>1.57681673296612</v>
      </c>
      <c r="O85" s="10" t="n">
        <f aca="false">LN(G85)</f>
        <v>-2.03737231105352</v>
      </c>
      <c r="P85" s="10" t="n">
        <f aca="false">LN(I85)</f>
        <v>8.0250523310032</v>
      </c>
      <c r="Q85" s="10" t="n">
        <f aca="false">LN(J85)</f>
        <v>9.75252683325211</v>
      </c>
      <c r="R85" s="10" t="n">
        <f aca="false">LN(M85)</f>
        <v>5.20656840942662</v>
      </c>
      <c r="S85" s="3" t="n">
        <v>0</v>
      </c>
      <c r="T85" s="3" t="s">
        <v>47</v>
      </c>
      <c r="U85" s="15" t="n">
        <v>0.084903960745</v>
      </c>
      <c r="V85" s="15" t="n">
        <v>0.065185417593</v>
      </c>
      <c r="W85" s="15" t="n">
        <v>0.110520349441</v>
      </c>
      <c r="X85" s="15" t="n">
        <v>0.083997539398</v>
      </c>
      <c r="Y85" s="15" t="n">
        <v>0.986312116018</v>
      </c>
    </row>
    <row r="86" customFormat="false" ht="15" hidden="false" customHeight="true" outlineLevel="0" collapsed="false">
      <c r="A86" s="3" t="s">
        <v>16</v>
      </c>
      <c r="B86" s="9" t="n">
        <v>44562</v>
      </c>
      <c r="C86" s="3" t="n">
        <v>2022</v>
      </c>
      <c r="D86" s="3" t="n">
        <v>1</v>
      </c>
      <c r="E86" s="3" t="n">
        <v>31</v>
      </c>
      <c r="F86" s="10" t="n">
        <f aca="false">Annual_Data!$C$8*U86</f>
        <v>4.692810235815</v>
      </c>
      <c r="G86" s="11" t="n">
        <f aca="false">Annual_Data!$D$8*V86</f>
        <v>0.129209263962</v>
      </c>
      <c r="H86" s="12" t="n">
        <f aca="false">Annual_Data!$E$7+(Annual_Data!$E$8-Annual_Data!$E$7)*D86/12</f>
        <v>37.5666666666667</v>
      </c>
      <c r="I86" s="13" t="n">
        <f aca="false">Annual_Data!$F$8*Y86</f>
        <v>3022.88678691972</v>
      </c>
      <c r="J86" s="13" t="n">
        <f aca="false">Annual_Data!$H$8*W86</f>
        <v>17522.772287833</v>
      </c>
      <c r="K86" s="13" t="n">
        <f aca="false">Annual_Data!$I$8*X86</f>
        <v>16619.1013014094</v>
      </c>
      <c r="L86" s="12" t="n">
        <f aca="false">K86*0.0036</f>
        <v>59.8287646850739</v>
      </c>
      <c r="M86" s="14" t="n">
        <f aca="false">K86/(I86*E86/1000)</f>
        <v>177.347045976283</v>
      </c>
      <c r="N86" s="10" t="n">
        <f aca="false">LN(F86)</f>
        <v>1.54603160041302</v>
      </c>
      <c r="O86" s="10" t="n">
        <f aca="false">LN(G86)</f>
        <v>-2.04632198771188</v>
      </c>
      <c r="P86" s="10" t="n">
        <f aca="false">LN(I86)</f>
        <v>8.0139675435058</v>
      </c>
      <c r="Q86" s="10" t="n">
        <f aca="false">LN(J86)</f>
        <v>9.77125658757935</v>
      </c>
      <c r="R86" s="10" t="n">
        <f aca="false">LN(M86)</f>
        <v>5.17810852461789</v>
      </c>
      <c r="S86" s="3" t="n">
        <v>0</v>
      </c>
      <c r="T86" s="3" t="s">
        <v>47</v>
      </c>
      <c r="U86" s="15" t="n">
        <v>0.088543589355</v>
      </c>
      <c r="V86" s="15" t="n">
        <v>0.129209263962</v>
      </c>
      <c r="W86" s="15" t="n">
        <v>0.074338177933</v>
      </c>
      <c r="X86" s="15" t="n">
        <v>0.090239300751</v>
      </c>
      <c r="Y86" s="15" t="n">
        <v>1.007964917279</v>
      </c>
    </row>
    <row r="87" customFormat="false" ht="15" hidden="false" customHeight="true" outlineLevel="0" collapsed="false">
      <c r="A87" s="3" t="s">
        <v>16</v>
      </c>
      <c r="B87" s="9" t="n">
        <v>44593</v>
      </c>
      <c r="C87" s="3" t="n">
        <v>2022</v>
      </c>
      <c r="D87" s="3" t="n">
        <v>2</v>
      </c>
      <c r="E87" s="3" t="n">
        <v>28</v>
      </c>
      <c r="F87" s="10" t="n">
        <f aca="false">Annual_Data!$C$8*U87</f>
        <v>4.231034622078</v>
      </c>
      <c r="G87" s="11" t="n">
        <f aca="false">Annual_Data!$D$8*V87</f>
        <v>0.101271128923</v>
      </c>
      <c r="H87" s="12" t="n">
        <f aca="false">Annual_Data!$E$7+(Annual_Data!$E$8-Annual_Data!$E$7)*D87/12</f>
        <v>37.6333333333333</v>
      </c>
      <c r="I87" s="13" t="n">
        <f aca="false">Annual_Data!$F$8*Y87</f>
        <v>3009.20360888193</v>
      </c>
      <c r="J87" s="13" t="n">
        <f aca="false">Annual_Data!$H$8*W87</f>
        <v>16610.4953096177</v>
      </c>
      <c r="K87" s="13" t="n">
        <f aca="false">Annual_Data!$I$8*X87</f>
        <v>14645.2899317225</v>
      </c>
      <c r="L87" s="12" t="n">
        <f aca="false">K87*0.0036</f>
        <v>52.7230437542008</v>
      </c>
      <c r="M87" s="14" t="n">
        <f aca="false">K87/(I87*E87/1000)</f>
        <v>173.815446534183</v>
      </c>
      <c r="N87" s="10" t="n">
        <f aca="false">LN(F87)</f>
        <v>1.44244655465836</v>
      </c>
      <c r="O87" s="10" t="n">
        <f aca="false">LN(G87)</f>
        <v>-2.28995391404529</v>
      </c>
      <c r="P87" s="10" t="n">
        <f aca="false">LN(I87)</f>
        <v>8.00943074096819</v>
      </c>
      <c r="Q87" s="10" t="n">
        <f aca="false">LN(J87)</f>
        <v>9.71779002212768</v>
      </c>
      <c r="R87" s="10" t="n">
        <f aca="false">LN(M87)</f>
        <v>5.15799408422264</v>
      </c>
      <c r="S87" s="3" t="n">
        <v>0</v>
      </c>
      <c r="T87" s="3" t="s">
        <v>47</v>
      </c>
      <c r="U87" s="15" t="n">
        <v>0.079830841926</v>
      </c>
      <c r="V87" s="15" t="n">
        <v>0.101271128923</v>
      </c>
      <c r="W87" s="15" t="n">
        <v>0.070467956531</v>
      </c>
      <c r="X87" s="15" t="n">
        <v>0.07952179235</v>
      </c>
      <c r="Y87" s="15" t="n">
        <v>1.003402337073</v>
      </c>
    </row>
    <row r="88" customFormat="false" ht="15" hidden="false" customHeight="true" outlineLevel="0" collapsed="false">
      <c r="A88" s="3" t="s">
        <v>16</v>
      </c>
      <c r="B88" s="9" t="n">
        <v>44621</v>
      </c>
      <c r="C88" s="3" t="n">
        <v>2022</v>
      </c>
      <c r="D88" s="3" t="n">
        <v>3</v>
      </c>
      <c r="E88" s="3" t="n">
        <v>31</v>
      </c>
      <c r="F88" s="10" t="n">
        <f aca="false">Annual_Data!$C$8*U88</f>
        <v>4.60654353528</v>
      </c>
      <c r="G88" s="11" t="n">
        <f aca="false">Annual_Data!$D$8*V88</f>
        <v>0.099808939494</v>
      </c>
      <c r="H88" s="12" t="n">
        <f aca="false">Annual_Data!$E$7+(Annual_Data!$E$8-Annual_Data!$E$7)*D88/12</f>
        <v>37.7</v>
      </c>
      <c r="I88" s="13" t="n">
        <f aca="false">Annual_Data!$F$8*Y88</f>
        <v>2990.90149217074</v>
      </c>
      <c r="J88" s="13" t="n">
        <f aca="false">Annual_Data!$H$8*W88</f>
        <v>19564.6116068442</v>
      </c>
      <c r="K88" s="13" t="n">
        <f aca="false">Annual_Data!$I$8*X88</f>
        <v>15914.0245651072</v>
      </c>
      <c r="L88" s="12" t="n">
        <f aca="false">K88*0.0036</f>
        <v>57.2904884343861</v>
      </c>
      <c r="M88" s="14" t="n">
        <f aca="false">K88/(I88*E88/1000)</f>
        <v>171.639096933248</v>
      </c>
      <c r="N88" s="10" t="n">
        <f aca="false">LN(F88)</f>
        <v>1.52747780035905</v>
      </c>
      <c r="O88" s="10" t="n">
        <f aca="false">LN(G88)</f>
        <v>-2.30449752558806</v>
      </c>
      <c r="P88" s="10" t="n">
        <f aca="false">LN(I88)</f>
        <v>8.00333012334026</v>
      </c>
      <c r="Q88" s="10" t="n">
        <f aca="false">LN(J88)</f>
        <v>9.88147768302116</v>
      </c>
      <c r="R88" s="10" t="n">
        <f aca="false">LN(M88)</f>
        <v>5.14539399870916</v>
      </c>
      <c r="S88" s="3" t="n">
        <v>0</v>
      </c>
      <c r="T88" s="3" t="s">
        <v>47</v>
      </c>
      <c r="U88" s="15" t="n">
        <v>0.08691591576</v>
      </c>
      <c r="V88" s="15" t="n">
        <v>0.099808939494</v>
      </c>
      <c r="W88" s="15" t="n">
        <v>0.083000426812</v>
      </c>
      <c r="X88" s="15" t="n">
        <v>0.086410836714</v>
      </c>
      <c r="Y88" s="15" t="n">
        <v>0.997299597256</v>
      </c>
    </row>
    <row r="89" customFormat="false" ht="15" hidden="false" customHeight="true" outlineLevel="0" collapsed="false">
      <c r="A89" s="3" t="s">
        <v>16</v>
      </c>
      <c r="B89" s="9" t="n">
        <v>44652</v>
      </c>
      <c r="C89" s="3" t="n">
        <v>2022</v>
      </c>
      <c r="D89" s="3" t="n">
        <v>4</v>
      </c>
      <c r="E89" s="3" t="n">
        <v>30</v>
      </c>
      <c r="F89" s="10" t="n">
        <f aca="false">Annual_Data!$C$8*U89</f>
        <v>4.282076744043</v>
      </c>
      <c r="G89" s="11" t="n">
        <f aca="false">Annual_Data!$D$8*V89</f>
        <v>0.090962219342</v>
      </c>
      <c r="H89" s="12" t="n">
        <f aca="false">Annual_Data!$E$7+(Annual_Data!$E$8-Annual_Data!$E$7)*D89/12</f>
        <v>37.7666666666667</v>
      </c>
      <c r="I89" s="13" t="n">
        <f aca="false">Annual_Data!$F$8*Y89</f>
        <v>2987.74128132161</v>
      </c>
      <c r="J89" s="13" t="n">
        <f aca="false">Annual_Data!$H$8*W89</f>
        <v>19747.4877423878</v>
      </c>
      <c r="K89" s="13" t="n">
        <f aca="false">Annual_Data!$I$8*X89</f>
        <v>14950.4507883721</v>
      </c>
      <c r="L89" s="12" t="n">
        <f aca="false">K89*0.0036</f>
        <v>53.8216228381397</v>
      </c>
      <c r="M89" s="14" t="n">
        <f aca="false">K89/(I89*E89/1000)</f>
        <v>166.797695211401</v>
      </c>
      <c r="N89" s="10" t="n">
        <f aca="false">LN(F89)</f>
        <v>1.45443811248307</v>
      </c>
      <c r="O89" s="10" t="n">
        <f aca="false">LN(G89)</f>
        <v>-2.39731103073901</v>
      </c>
      <c r="P89" s="10" t="n">
        <f aca="false">LN(I89)</f>
        <v>8.00227295660086</v>
      </c>
      <c r="Q89" s="10" t="n">
        <f aca="false">LN(J89)</f>
        <v>9.89078155932122</v>
      </c>
      <c r="R89" s="10" t="n">
        <f aca="false">LN(M89)</f>
        <v>5.11678167215173</v>
      </c>
      <c r="S89" s="3" t="n">
        <v>0</v>
      </c>
      <c r="T89" s="3" t="s">
        <v>47</v>
      </c>
      <c r="U89" s="15" t="n">
        <v>0.080793900831</v>
      </c>
      <c r="V89" s="15" t="n">
        <v>0.090962219342</v>
      </c>
      <c r="W89" s="15" t="n">
        <v>0.083776256029</v>
      </c>
      <c r="X89" s="15" t="n">
        <v>0.081178771378</v>
      </c>
      <c r="Y89" s="15" t="n">
        <v>0.996245842388</v>
      </c>
    </row>
    <row r="90" customFormat="false" ht="15" hidden="false" customHeight="true" outlineLevel="0" collapsed="false">
      <c r="A90" s="3" t="s">
        <v>16</v>
      </c>
      <c r="B90" s="9" t="n">
        <v>44682</v>
      </c>
      <c r="C90" s="3" t="n">
        <v>2022</v>
      </c>
      <c r="D90" s="3" t="n">
        <v>5</v>
      </c>
      <c r="E90" s="3" t="n">
        <v>31</v>
      </c>
      <c r="F90" s="10" t="n">
        <f aca="false">Annual_Data!$C$8*U90</f>
        <v>4.411808127605</v>
      </c>
      <c r="G90" s="11" t="n">
        <f aca="false">Annual_Data!$D$8*V90</f>
        <v>0.08801794695</v>
      </c>
      <c r="H90" s="12" t="n">
        <f aca="false">Annual_Data!$E$7+(Annual_Data!$E$8-Annual_Data!$E$7)*D90/12</f>
        <v>37.8333333333333</v>
      </c>
      <c r="I90" s="13" t="n">
        <f aca="false">Annual_Data!$F$8*Y90</f>
        <v>2995.551015054</v>
      </c>
      <c r="J90" s="13" t="n">
        <f aca="false">Annual_Data!$H$8*W90</f>
        <v>20475.8237738195</v>
      </c>
      <c r="K90" s="13" t="n">
        <f aca="false">Annual_Data!$I$8*X90</f>
        <v>15277.3628679355</v>
      </c>
      <c r="L90" s="12" t="n">
        <f aca="false">K90*0.0036</f>
        <v>54.9985063245677</v>
      </c>
      <c r="M90" s="14" t="n">
        <f aca="false">K90/(I90*E90/1000)</f>
        <v>164.516696445343</v>
      </c>
      <c r="N90" s="10" t="n">
        <f aca="false">LN(F90)</f>
        <v>1.48428461168879</v>
      </c>
      <c r="O90" s="10" t="n">
        <f aca="false">LN(G90)</f>
        <v>-2.43021454268376</v>
      </c>
      <c r="P90" s="10" t="n">
        <f aca="false">LN(I90)</f>
        <v>8.00488347194281</v>
      </c>
      <c r="Q90" s="10" t="n">
        <f aca="false">LN(J90)</f>
        <v>9.92700014106552</v>
      </c>
      <c r="R90" s="10" t="n">
        <f aca="false">LN(M90)</f>
        <v>5.10301206320282</v>
      </c>
      <c r="S90" s="3" t="n">
        <v>0</v>
      </c>
      <c r="T90" s="3" t="s">
        <v>47</v>
      </c>
      <c r="U90" s="15" t="n">
        <v>0.083241662785</v>
      </c>
      <c r="V90" s="15" t="n">
        <v>0.08801794695</v>
      </c>
      <c r="W90" s="15" t="n">
        <v>0.086866130885</v>
      </c>
      <c r="X90" s="15" t="n">
        <v>0.08295385638</v>
      </c>
      <c r="Y90" s="15" t="n">
        <v>0.998849955003</v>
      </c>
    </row>
    <row r="91" customFormat="false" ht="15" hidden="false" customHeight="true" outlineLevel="0" collapsed="false">
      <c r="A91" s="3" t="s">
        <v>16</v>
      </c>
      <c r="B91" s="9" t="n">
        <v>44713</v>
      </c>
      <c r="C91" s="3" t="n">
        <v>2022</v>
      </c>
      <c r="D91" s="3" t="n">
        <v>6</v>
      </c>
      <c r="E91" s="3" t="n">
        <v>30</v>
      </c>
      <c r="F91" s="10" t="n">
        <f aca="false">Annual_Data!$C$8*U91</f>
        <v>4.31564429876</v>
      </c>
      <c r="G91" s="11" t="n">
        <f aca="false">Annual_Data!$D$8*V91</f>
        <v>0.078662356607</v>
      </c>
      <c r="H91" s="12" t="n">
        <f aca="false">Annual_Data!$E$7+(Annual_Data!$E$8-Annual_Data!$E$7)*D91/12</f>
        <v>37.9</v>
      </c>
      <c r="I91" s="13" t="n">
        <f aca="false">Annual_Data!$F$8*Y91</f>
        <v>2992.76071469325</v>
      </c>
      <c r="J91" s="13" t="n">
        <f aca="false">Annual_Data!$H$8*W91</f>
        <v>20153.3322201589</v>
      </c>
      <c r="K91" s="13" t="n">
        <f aca="false">Annual_Data!$I$8*X91</f>
        <v>14991.7627555848</v>
      </c>
      <c r="L91" s="12" t="n">
        <f aca="false">K91*0.0036</f>
        <v>53.9703459201052</v>
      </c>
      <c r="M91" s="14" t="n">
        <f aca="false">K91/(I91*E91/1000)</f>
        <v>166.978075705387</v>
      </c>
      <c r="N91" s="10" t="n">
        <f aca="false">LN(F91)</f>
        <v>1.46224662943984</v>
      </c>
      <c r="O91" s="10" t="n">
        <f aca="false">LN(G91)</f>
        <v>-2.54259055301967</v>
      </c>
      <c r="P91" s="10" t="n">
        <f aca="false">LN(I91)</f>
        <v>8.00395155634168</v>
      </c>
      <c r="Q91" s="10" t="n">
        <f aca="false">LN(J91)</f>
        <v>9.91112492443009</v>
      </c>
      <c r="R91" s="10" t="n">
        <f aca="false">LN(M91)</f>
        <v>5.11786252059709</v>
      </c>
      <c r="S91" s="3" t="n">
        <v>0</v>
      </c>
      <c r="T91" s="3" t="s">
        <v>47</v>
      </c>
      <c r="U91" s="15" t="n">
        <v>0.08142725092</v>
      </c>
      <c r="V91" s="15" t="n">
        <v>0.078662356607</v>
      </c>
      <c r="W91" s="15" t="n">
        <v>0.085498000654</v>
      </c>
      <c r="X91" s="15" t="n">
        <v>0.081403089346</v>
      </c>
      <c r="Y91" s="15" t="n">
        <v>0.997919544746</v>
      </c>
    </row>
    <row r="92" customFormat="false" ht="15" hidden="false" customHeight="true" outlineLevel="0" collapsed="false">
      <c r="A92" s="3" t="s">
        <v>16</v>
      </c>
      <c r="B92" s="9" t="n">
        <v>44743</v>
      </c>
      <c r="C92" s="3" t="n">
        <v>2022</v>
      </c>
      <c r="D92" s="3" t="n">
        <v>7</v>
      </c>
      <c r="E92" s="3" t="n">
        <v>31</v>
      </c>
      <c r="F92" s="10" t="n">
        <f aca="false">Annual_Data!$C$8*U92</f>
        <v>4.579313726764</v>
      </c>
      <c r="G92" s="11" t="n">
        <f aca="false">Annual_Data!$D$8*V92</f>
        <v>0.079659049042</v>
      </c>
      <c r="H92" s="12" t="n">
        <f aca="false">Annual_Data!$E$7+(Annual_Data!$E$8-Annual_Data!$E$7)*D92/12</f>
        <v>37.9666666666667</v>
      </c>
      <c r="I92" s="13" t="n">
        <f aca="false">Annual_Data!$F$8*Y92</f>
        <v>3007.80937482558</v>
      </c>
      <c r="J92" s="13" t="n">
        <f aca="false">Annual_Data!$H$8*W92</f>
        <v>20368.2469358559</v>
      </c>
      <c r="K92" s="13" t="n">
        <f aca="false">Annual_Data!$I$8*X92</f>
        <v>15774.7183127272</v>
      </c>
      <c r="L92" s="12" t="n">
        <f aca="false">K92*0.0036</f>
        <v>56.7889859258179</v>
      </c>
      <c r="M92" s="14" t="n">
        <f aca="false">K92/(I92*E92/1000)</f>
        <v>169.180229742859</v>
      </c>
      <c r="N92" s="10" t="n">
        <f aca="false">LN(F92)</f>
        <v>1.52154914558086</v>
      </c>
      <c r="O92" s="10" t="n">
        <f aca="false">LN(G92)</f>
        <v>-2.52999963901016</v>
      </c>
      <c r="P92" s="10" t="n">
        <f aca="false">LN(I92)</f>
        <v>8.00896731033074</v>
      </c>
      <c r="Q92" s="10" t="n">
        <f aca="false">LN(J92)</f>
        <v>9.92173244444011</v>
      </c>
      <c r="R92" s="10" t="n">
        <f aca="false">LN(M92)</f>
        <v>5.13096459485378</v>
      </c>
      <c r="S92" s="3" t="n">
        <v>0</v>
      </c>
      <c r="T92" s="3" t="s">
        <v>47</v>
      </c>
      <c r="U92" s="15" t="n">
        <v>0.086402145788</v>
      </c>
      <c r="V92" s="15" t="n">
        <v>0.079659049042</v>
      </c>
      <c r="W92" s="15" t="n">
        <v>0.086409749555</v>
      </c>
      <c r="X92" s="15" t="n">
        <v>0.085654424043</v>
      </c>
      <c r="Y92" s="15" t="n">
        <v>1.002937437421</v>
      </c>
    </row>
    <row r="93" customFormat="false" ht="15" hidden="false" customHeight="true" outlineLevel="0" collapsed="false">
      <c r="A93" s="3" t="s">
        <v>16</v>
      </c>
      <c r="B93" s="9" t="n">
        <v>44774</v>
      </c>
      <c r="C93" s="3" t="n">
        <v>2022</v>
      </c>
      <c r="D93" s="3" t="n">
        <v>8</v>
      </c>
      <c r="E93" s="3" t="n">
        <v>31</v>
      </c>
      <c r="F93" s="10" t="n">
        <f aca="false">Annual_Data!$C$8*U93</f>
        <v>4.497339997927</v>
      </c>
      <c r="G93" s="11" t="n">
        <f aca="false">Annual_Data!$D$8*V93</f>
        <v>0.073354543574</v>
      </c>
      <c r="H93" s="12" t="n">
        <f aca="false">Annual_Data!$E$7+(Annual_Data!$E$8-Annual_Data!$E$7)*D93/12</f>
        <v>38.0333333333333</v>
      </c>
      <c r="I93" s="13" t="n">
        <f aca="false">Annual_Data!$F$8*Y93</f>
        <v>2981.64971311242</v>
      </c>
      <c r="J93" s="13" t="n">
        <f aca="false">Annual_Data!$H$8*W93</f>
        <v>21337.941780139</v>
      </c>
      <c r="K93" s="13" t="n">
        <f aca="false">Annual_Data!$I$8*X93</f>
        <v>15477.0637173518</v>
      </c>
      <c r="L93" s="12" t="n">
        <f aca="false">K93*0.0036</f>
        <v>55.7174293824665</v>
      </c>
      <c r="M93" s="14" t="n">
        <f aca="false">K93/(I93*E93/1000)</f>
        <v>167.444256687489</v>
      </c>
      <c r="N93" s="10" t="n">
        <f aca="false">LN(F93)</f>
        <v>1.50348611042917</v>
      </c>
      <c r="O93" s="10" t="n">
        <f aca="false">LN(G93)</f>
        <v>-2.61245083256243</v>
      </c>
      <c r="P93" s="10" t="n">
        <f aca="false">LN(I93)</f>
        <v>8.00023202132643</v>
      </c>
      <c r="Q93" s="10" t="n">
        <f aca="false">LN(J93)</f>
        <v>9.96824207128855</v>
      </c>
      <c r="R93" s="10" t="n">
        <f aca="false">LN(M93)</f>
        <v>5.12065049998069</v>
      </c>
      <c r="S93" s="3" t="n">
        <v>0</v>
      </c>
      <c r="T93" s="3" t="s">
        <v>47</v>
      </c>
      <c r="U93" s="15" t="n">
        <v>0.084855471659</v>
      </c>
      <c r="V93" s="15" t="n">
        <v>0.073354543574</v>
      </c>
      <c r="W93" s="15" t="n">
        <v>0.090523559099</v>
      </c>
      <c r="X93" s="15" t="n">
        <v>0.084038202921</v>
      </c>
      <c r="Y93" s="15" t="n">
        <v>0.994214642585</v>
      </c>
    </row>
    <row r="94" customFormat="false" ht="15" hidden="false" customHeight="true" outlineLevel="0" collapsed="false">
      <c r="A94" s="3" t="s">
        <v>16</v>
      </c>
      <c r="B94" s="9" t="n">
        <v>44805</v>
      </c>
      <c r="C94" s="3" t="n">
        <v>2022</v>
      </c>
      <c r="D94" s="3" t="n">
        <v>9</v>
      </c>
      <c r="E94" s="3" t="n">
        <v>30</v>
      </c>
      <c r="F94" s="10" t="n">
        <f aca="false">Annual_Data!$C$8*U94</f>
        <v>4.197745723341</v>
      </c>
      <c r="G94" s="11" t="n">
        <f aca="false">Annual_Data!$D$8*V94</f>
        <v>0.067638183568</v>
      </c>
      <c r="H94" s="12" t="n">
        <f aca="false">Annual_Data!$E$7+(Annual_Data!$E$8-Annual_Data!$E$7)*D94/12</f>
        <v>38.1</v>
      </c>
      <c r="I94" s="13" t="n">
        <f aca="false">Annual_Data!$F$8*Y94</f>
        <v>2953.87660997239</v>
      </c>
      <c r="J94" s="13" t="n">
        <f aca="false">Annual_Data!$H$8*W94</f>
        <v>20123.352422691</v>
      </c>
      <c r="K94" s="13" t="n">
        <f aca="false">Annual_Data!$I$8*X94</f>
        <v>14576.1470415872</v>
      </c>
      <c r="L94" s="12" t="n">
        <f aca="false">K94*0.0036</f>
        <v>52.4741293497138</v>
      </c>
      <c r="M94" s="14" t="n">
        <f aca="false">K94/(I94*E94/1000)</f>
        <v>164.486074473316</v>
      </c>
      <c r="N94" s="10" t="n">
        <f aca="false">LN(F94)</f>
        <v>1.434547648659</v>
      </c>
      <c r="O94" s="10" t="n">
        <f aca="false">LN(G94)</f>
        <v>-2.69358260971802</v>
      </c>
      <c r="P94" s="10" t="n">
        <f aca="false">LN(I94)</f>
        <v>7.99087369172886</v>
      </c>
      <c r="Q94" s="10" t="n">
        <f aca="false">LN(J94)</f>
        <v>9.90963623173998</v>
      </c>
      <c r="R94" s="10" t="n">
        <f aca="false">LN(M94)</f>
        <v>5.10282591296445</v>
      </c>
      <c r="S94" s="3" t="n">
        <v>0</v>
      </c>
      <c r="T94" s="3" t="s">
        <v>47</v>
      </c>
      <c r="U94" s="15" t="n">
        <v>0.079202749497</v>
      </c>
      <c r="V94" s="15" t="n">
        <v>0.067638183568</v>
      </c>
      <c r="W94" s="15" t="n">
        <v>0.085370815099</v>
      </c>
      <c r="X94" s="15" t="n">
        <v>0.079146356522</v>
      </c>
      <c r="Y94" s="15" t="n">
        <v>0.984953854609</v>
      </c>
    </row>
    <row r="95" customFormat="false" ht="15" hidden="false" customHeight="true" outlineLevel="0" collapsed="false">
      <c r="A95" s="3" t="s">
        <v>16</v>
      </c>
      <c r="B95" s="9" t="n">
        <v>44835</v>
      </c>
      <c r="C95" s="3" t="n">
        <v>2022</v>
      </c>
      <c r="D95" s="3" t="n">
        <v>10</v>
      </c>
      <c r="E95" s="3" t="n">
        <v>31</v>
      </c>
      <c r="F95" s="10" t="n">
        <f aca="false">Annual_Data!$C$8*U95</f>
        <v>4.315591598263</v>
      </c>
      <c r="G95" s="11" t="n">
        <f aca="false">Annual_Data!$D$8*V95</f>
        <v>0.06456707666</v>
      </c>
      <c r="H95" s="12" t="n">
        <f aca="false">Annual_Data!$E$7+(Annual_Data!$E$8-Annual_Data!$E$7)*D95/12</f>
        <v>38.1666666666667</v>
      </c>
      <c r="I95" s="13" t="n">
        <f aca="false">Annual_Data!$F$8*Y95</f>
        <v>2990.62519565329</v>
      </c>
      <c r="J95" s="13" t="n">
        <f aca="false">Annual_Data!$H$8*W95</f>
        <v>20514.284777613</v>
      </c>
      <c r="K95" s="13" t="n">
        <f aca="false">Annual_Data!$I$8*X95</f>
        <v>14938.4760131934</v>
      </c>
      <c r="L95" s="12" t="n">
        <f aca="false">K95*0.0036</f>
        <v>53.7785136474961</v>
      </c>
      <c r="M95" s="14" t="n">
        <f aca="false">K95/(I95*E95/1000)</f>
        <v>161.132302271322</v>
      </c>
      <c r="N95" s="10" t="n">
        <f aca="false">LN(F95)</f>
        <v>1.46223441786374</v>
      </c>
      <c r="O95" s="10" t="n">
        <f aca="false">LN(G95)</f>
        <v>-2.7400506473349</v>
      </c>
      <c r="P95" s="10" t="n">
        <f aca="false">LN(I95)</f>
        <v>8.00323774006353</v>
      </c>
      <c r="Q95" s="10" t="n">
        <f aca="false">LN(J95)</f>
        <v>9.92887674088141</v>
      </c>
      <c r="R95" s="10" t="n">
        <f aca="false">LN(M95)</f>
        <v>5.08222578076815</v>
      </c>
      <c r="S95" s="3" t="n">
        <v>0</v>
      </c>
      <c r="T95" s="3" t="s">
        <v>47</v>
      </c>
      <c r="U95" s="15" t="n">
        <v>0.081426256571</v>
      </c>
      <c r="V95" s="15" t="n">
        <v>0.06456707666</v>
      </c>
      <c r="W95" s="15" t="n">
        <v>0.087029296901</v>
      </c>
      <c r="X95" s="15" t="n">
        <v>0.081113750092</v>
      </c>
      <c r="Y95" s="15" t="n">
        <v>0.997207467707</v>
      </c>
    </row>
    <row r="96" customFormat="false" ht="15" hidden="false" customHeight="true" outlineLevel="0" collapsed="false">
      <c r="A96" s="3" t="s">
        <v>16</v>
      </c>
      <c r="B96" s="9" t="n">
        <v>44866</v>
      </c>
      <c r="C96" s="3" t="n">
        <v>2022</v>
      </c>
      <c r="D96" s="3" t="n">
        <v>11</v>
      </c>
      <c r="E96" s="3" t="n">
        <v>30</v>
      </c>
      <c r="F96" s="10" t="n">
        <f aca="false">Annual_Data!$C$8*U96</f>
        <v>4.344900103084</v>
      </c>
      <c r="G96" s="11" t="n">
        <f aca="false">Annual_Data!$D$8*V96</f>
        <v>0.059913001083</v>
      </c>
      <c r="H96" s="12" t="n">
        <f aca="false">Annual_Data!$E$7+(Annual_Data!$E$8-Annual_Data!$E$7)*D96/12</f>
        <v>38.2333333333333</v>
      </c>
      <c r="I96" s="13" t="n">
        <f aca="false">Annual_Data!$F$8*Y96</f>
        <v>3026.20959687608</v>
      </c>
      <c r="J96" s="13" t="n">
        <f aca="false">Annual_Data!$H$8*W96</f>
        <v>20343.5623312765</v>
      </c>
      <c r="K96" s="13" t="n">
        <f aca="false">Annual_Data!$I$8*X96</f>
        <v>15315.2341998132</v>
      </c>
      <c r="L96" s="12" t="n">
        <f aca="false">K96*0.0036</f>
        <v>55.1348431193276</v>
      </c>
      <c r="M96" s="14" t="n">
        <f aca="false">K96/(I96*E96/1000)</f>
        <v>168.69545559152</v>
      </c>
      <c r="N96" s="10" t="n">
        <f aca="false">LN(F96)</f>
        <v>1.46900276721807</v>
      </c>
      <c r="O96" s="10" t="n">
        <f aca="false">LN(G96)</f>
        <v>-2.81486175095114</v>
      </c>
      <c r="P96" s="10" t="n">
        <f aca="false">LN(I96)</f>
        <v>8.01506615727544</v>
      </c>
      <c r="Q96" s="10" t="n">
        <f aca="false">LN(J96)</f>
        <v>9.92051979346494</v>
      </c>
      <c r="R96" s="10" t="n">
        <f aca="false">LN(M96)</f>
        <v>5.12809505137949</v>
      </c>
      <c r="S96" s="3" t="n">
        <v>0</v>
      </c>
      <c r="T96" s="3" t="s">
        <v>47</v>
      </c>
      <c r="U96" s="15" t="n">
        <v>0.081979247228</v>
      </c>
      <c r="V96" s="15" t="n">
        <v>0.059913001083</v>
      </c>
      <c r="W96" s="15" t="n">
        <v>0.086305028196</v>
      </c>
      <c r="X96" s="15" t="n">
        <v>0.083159492199</v>
      </c>
      <c r="Y96" s="15" t="n">
        <v>1.009072889922</v>
      </c>
    </row>
    <row r="97" customFormat="false" ht="15" hidden="false" customHeight="true" outlineLevel="0" collapsed="false">
      <c r="A97" s="3" t="s">
        <v>16</v>
      </c>
      <c r="B97" s="9" t="n">
        <v>44896</v>
      </c>
      <c r="C97" s="3" t="n">
        <v>2022</v>
      </c>
      <c r="D97" s="3" t="n">
        <v>12</v>
      </c>
      <c r="E97" s="3" t="n">
        <v>31</v>
      </c>
      <c r="F97" s="10" t="n">
        <f aca="false">Annual_Data!$C$8*U97</f>
        <v>4.52519128704</v>
      </c>
      <c r="G97" s="11" t="n">
        <f aca="false">Annual_Data!$D$8*V97</f>
        <v>0.066936290795</v>
      </c>
      <c r="H97" s="12" t="n">
        <f aca="false">Annual_Data!$E$7+(Annual_Data!$E$8-Annual_Data!$E$7)*D97/12</f>
        <v>38.3</v>
      </c>
      <c r="I97" s="13" t="n">
        <f aca="false">Annual_Data!$F$8*Y97</f>
        <v>3028.62974050354</v>
      </c>
      <c r="J97" s="13" t="n">
        <f aca="false">Annual_Data!$H$8*W97</f>
        <v>18955.0888117634</v>
      </c>
      <c r="K97" s="13" t="n">
        <f aca="false">Annual_Data!$I$8*X97</f>
        <v>15687.3685051958</v>
      </c>
      <c r="L97" s="12" t="n">
        <f aca="false">K97*0.0036</f>
        <v>56.4745266187048</v>
      </c>
      <c r="M97" s="14" t="n">
        <f aca="false">K97/(I97*E97/1000)</f>
        <v>167.086830906164</v>
      </c>
      <c r="N97" s="10" t="n">
        <f aca="false">LN(F97)</f>
        <v>1.5096598496374</v>
      </c>
      <c r="O97" s="10" t="n">
        <f aca="false">LN(G97)</f>
        <v>-2.70401399562455</v>
      </c>
      <c r="P97" s="10" t="n">
        <f aca="false">LN(I97)</f>
        <v>8.01586556535929</v>
      </c>
      <c r="Q97" s="10" t="n">
        <f aca="false">LN(J97)</f>
        <v>9.8498277133398</v>
      </c>
      <c r="R97" s="10" t="n">
        <f aca="false">LN(M97)</f>
        <v>5.1185136228378</v>
      </c>
      <c r="S97" s="3" t="n">
        <v>0</v>
      </c>
      <c r="T97" s="3" t="s">
        <v>47</v>
      </c>
      <c r="U97" s="15" t="n">
        <v>0.08538096768</v>
      </c>
      <c r="V97" s="15" t="n">
        <v>0.066936290795</v>
      </c>
      <c r="W97" s="15" t="n">
        <v>0.080414602306</v>
      </c>
      <c r="X97" s="15" t="n">
        <v>0.085180127304</v>
      </c>
      <c r="Y97" s="15" t="n">
        <v>1.009879873459</v>
      </c>
    </row>
    <row r="98" customFormat="false" ht="15" hidden="false" customHeight="true" outlineLevel="0" collapsed="false">
      <c r="A98" s="3" t="s">
        <v>16</v>
      </c>
      <c r="B98" s="9" t="n">
        <v>44927</v>
      </c>
      <c r="C98" s="3" t="n">
        <v>2023</v>
      </c>
      <c r="D98" s="3" t="n">
        <v>1</v>
      </c>
      <c r="E98" s="3" t="n">
        <v>31</v>
      </c>
      <c r="F98" s="10" t="n">
        <f aca="false">Annual_Data!$C$9*U98</f>
        <v>4.52180683734</v>
      </c>
      <c r="G98" s="11" t="n">
        <f aca="false">Annual_Data!$D$9*V98</f>
        <v>0.066730656207</v>
      </c>
      <c r="H98" s="12" t="n">
        <f aca="false">Annual_Data!$E$8+(Annual_Data!$E$9-Annual_Data!$E$8)*D98/12</f>
        <v>38.4583333333333</v>
      </c>
      <c r="I98" s="13" t="n">
        <f aca="false">Annual_Data!$F$9*Y98</f>
        <v>3034.17550143864</v>
      </c>
      <c r="J98" s="13" t="n">
        <f aca="false">Annual_Data!$H$9*W98</f>
        <v>18547.4514166106</v>
      </c>
      <c r="K98" s="13" t="n">
        <f aca="false">Annual_Data!$I$9*X98</f>
        <v>15792.1787210553</v>
      </c>
      <c r="L98" s="12" t="n">
        <f aca="false">K98*0.0036</f>
        <v>56.8518433957992</v>
      </c>
      <c r="M98" s="14" t="n">
        <f aca="false">K98/(I98*E98/1000)</f>
        <v>167.895733055818</v>
      </c>
      <c r="N98" s="10" t="n">
        <f aca="false">LN(F98)</f>
        <v>1.50891165674262</v>
      </c>
      <c r="O98" s="10" t="n">
        <f aca="false">LN(G98)</f>
        <v>-2.70709081835205</v>
      </c>
      <c r="P98" s="10" t="n">
        <f aca="false">LN(I98)</f>
        <v>8.01769500313949</v>
      </c>
      <c r="Q98" s="10" t="n">
        <f aca="false">LN(J98)</f>
        <v>9.82808766865659</v>
      </c>
      <c r="R98" s="10" t="n">
        <f aca="false">LN(M98)</f>
        <v>5.12334315015614</v>
      </c>
      <c r="S98" s="3" t="n">
        <v>0</v>
      </c>
      <c r="T98" s="3" t="s">
        <v>47</v>
      </c>
      <c r="U98" s="15" t="n">
        <v>0.086957823795</v>
      </c>
      <c r="V98" s="15" t="n">
        <v>0.066730656207</v>
      </c>
      <c r="W98" s="15" t="n">
        <v>0.09419109666</v>
      </c>
      <c r="X98" s="15" t="n">
        <v>0.085235045289</v>
      </c>
      <c r="Y98" s="15" t="n">
        <v>0.972492147897</v>
      </c>
    </row>
    <row r="99" customFormat="false" ht="15" hidden="false" customHeight="true" outlineLevel="0" collapsed="false">
      <c r="A99" s="3" t="s">
        <v>16</v>
      </c>
      <c r="B99" s="9" t="n">
        <v>44958</v>
      </c>
      <c r="C99" s="3" t="n">
        <v>2023</v>
      </c>
      <c r="D99" s="3" t="n">
        <v>2</v>
      </c>
      <c r="E99" s="3" t="n">
        <v>28</v>
      </c>
      <c r="F99" s="10" t="n">
        <f aca="false">Annual_Data!$C$9*U99</f>
        <v>4.015893937432</v>
      </c>
      <c r="G99" s="11" t="n">
        <f aca="false">Annual_Data!$D$9*V99</f>
        <v>0.05836094794</v>
      </c>
      <c r="H99" s="12" t="n">
        <f aca="false">Annual_Data!$E$8+(Annual_Data!$E$9-Annual_Data!$E$8)*D99/12</f>
        <v>38.6166666666667</v>
      </c>
      <c r="I99" s="13" t="n">
        <f aca="false">Annual_Data!$F$9*Y99</f>
        <v>3054.9673725948</v>
      </c>
      <c r="J99" s="13" t="n">
        <f aca="false">Annual_Data!$H$9*W99</f>
        <v>16428.9281064637</v>
      </c>
      <c r="K99" s="13" t="n">
        <f aca="false">Annual_Data!$I$9*X99</f>
        <v>14210.144083987</v>
      </c>
      <c r="L99" s="12" t="n">
        <f aca="false">K99*0.0036</f>
        <v>51.1565187023533</v>
      </c>
      <c r="M99" s="14" t="n">
        <f aca="false">K99/(I99*E99/1000)</f>
        <v>166.124571545135</v>
      </c>
      <c r="N99" s="10" t="n">
        <f aca="false">LN(F99)</f>
        <v>1.39025997203869</v>
      </c>
      <c r="O99" s="10" t="n">
        <f aca="false">LN(G99)</f>
        <v>-2.84110831248483</v>
      </c>
      <c r="P99" s="10" t="n">
        <f aca="false">LN(I99)</f>
        <v>8.02452419154696</v>
      </c>
      <c r="Q99" s="10" t="n">
        <f aca="false">LN(J99)</f>
        <v>9.70679896888263</v>
      </c>
      <c r="R99" s="10" t="n">
        <f aca="false">LN(M99)</f>
        <v>5.11273793791878</v>
      </c>
      <c r="S99" s="3" t="n">
        <v>0</v>
      </c>
      <c r="T99" s="3" t="s">
        <v>47</v>
      </c>
      <c r="U99" s="15" t="n">
        <v>0.077228729566</v>
      </c>
      <c r="V99" s="15" t="n">
        <v>0.05836094794</v>
      </c>
      <c r="W99" s="15" t="n">
        <v>0.083432419934</v>
      </c>
      <c r="X99" s="15" t="n">
        <v>0.076696337849</v>
      </c>
      <c r="Y99" s="15" t="n">
        <v>0.979156209165</v>
      </c>
    </row>
    <row r="100" customFormat="false" ht="15" hidden="false" customHeight="true" outlineLevel="0" collapsed="false">
      <c r="A100" s="3" t="s">
        <v>16</v>
      </c>
      <c r="B100" s="9" t="n">
        <v>44986</v>
      </c>
      <c r="C100" s="3" t="n">
        <v>2023</v>
      </c>
      <c r="D100" s="3" t="n">
        <v>3</v>
      </c>
      <c r="E100" s="3" t="n">
        <v>31</v>
      </c>
      <c r="F100" s="10" t="n">
        <f aca="false">Annual_Data!$C$9*U100</f>
        <v>4.447151419724</v>
      </c>
      <c r="G100" s="11" t="n">
        <f aca="false">Annual_Data!$D$9*V100</f>
        <v>0.065761031419</v>
      </c>
      <c r="H100" s="12" t="n">
        <f aca="false">Annual_Data!$E$8+(Annual_Data!$E$9-Annual_Data!$E$8)*D100/12</f>
        <v>38.775</v>
      </c>
      <c r="I100" s="13" t="n">
        <f aca="false">Annual_Data!$F$9*Y100</f>
        <v>3045.36698501568</v>
      </c>
      <c r="J100" s="13" t="n">
        <f aca="false">Annual_Data!$H$9*W100</f>
        <v>17557.926136395</v>
      </c>
      <c r="K100" s="13" t="n">
        <f aca="false">Annual_Data!$I$9*X100</f>
        <v>15777.8204356951</v>
      </c>
      <c r="L100" s="12" t="n">
        <f aca="false">K100*0.0036</f>
        <v>56.8001535685025</v>
      </c>
      <c r="M100" s="14" t="n">
        <f aca="false">K100/(I100*E100/1000)</f>
        <v>167.126639266411</v>
      </c>
      <c r="N100" s="10" t="n">
        <f aca="false">LN(F100)</f>
        <v>1.49226376080811</v>
      </c>
      <c r="O100" s="10" t="n">
        <f aca="false">LN(G100)</f>
        <v>-2.72172784376172</v>
      </c>
      <c r="P100" s="10" t="n">
        <f aca="false">LN(I100)</f>
        <v>8.02137669341258</v>
      </c>
      <c r="Q100" s="10" t="n">
        <f aca="false">LN(J100)</f>
        <v>9.77326075864253</v>
      </c>
      <c r="R100" s="10" t="n">
        <f aca="false">LN(M100)</f>
        <v>5.11875184399875</v>
      </c>
      <c r="S100" s="3" t="n">
        <v>0</v>
      </c>
      <c r="T100" s="3" t="s">
        <v>47</v>
      </c>
      <c r="U100" s="15" t="n">
        <v>0.085522142687</v>
      </c>
      <c r="V100" s="15" t="n">
        <v>0.065761031419</v>
      </c>
      <c r="W100" s="15" t="n">
        <v>0.089165906448</v>
      </c>
      <c r="X100" s="15" t="n">
        <v>0.085157549389</v>
      </c>
      <c r="Y100" s="15" t="n">
        <v>0.976079161864</v>
      </c>
    </row>
    <row r="101" customFormat="false" ht="15" hidden="false" customHeight="true" outlineLevel="0" collapsed="false">
      <c r="A101" s="3" t="s">
        <v>16</v>
      </c>
      <c r="B101" s="9" t="n">
        <v>45017</v>
      </c>
      <c r="C101" s="3" t="n">
        <v>2023</v>
      </c>
      <c r="D101" s="3" t="n">
        <v>4</v>
      </c>
      <c r="E101" s="3" t="n">
        <v>30</v>
      </c>
      <c r="F101" s="10" t="n">
        <f aca="false">Annual_Data!$C$9*U101</f>
        <v>4.193146973028</v>
      </c>
      <c r="G101" s="11" t="n">
        <f aca="false">Annual_Data!$D$9*V101</f>
        <v>0.060475278368</v>
      </c>
      <c r="H101" s="12" t="n">
        <f aca="false">Annual_Data!$E$8+(Annual_Data!$E$9-Annual_Data!$E$8)*D101/12</f>
        <v>38.9333333333333</v>
      </c>
      <c r="I101" s="13" t="n">
        <f aca="false">Annual_Data!$F$9*Y101</f>
        <v>3063.98716565448</v>
      </c>
      <c r="J101" s="13" t="n">
        <f aca="false">Annual_Data!$H$9*W101</f>
        <v>15760.9173173007</v>
      </c>
      <c r="K101" s="13" t="n">
        <f aca="false">Annual_Data!$I$9*X101</f>
        <v>14870.0407574047</v>
      </c>
      <c r="L101" s="12" t="n">
        <f aca="false">K101*0.0036</f>
        <v>53.5321467266568</v>
      </c>
      <c r="M101" s="14" t="n">
        <f aca="false">K101/(I101*E101/1000)</f>
        <v>161.772226334031</v>
      </c>
      <c r="N101" s="10" t="n">
        <f aca="false">LN(F101)</f>
        <v>1.43345151957241</v>
      </c>
      <c r="O101" s="10" t="n">
        <f aca="false">LN(G101)</f>
        <v>-2.8055206194706</v>
      </c>
      <c r="P101" s="10" t="n">
        <f aca="false">LN(I101)</f>
        <v>8.02747234209664</v>
      </c>
      <c r="Q101" s="10" t="n">
        <f aca="false">LN(J101)</f>
        <v>9.66528856713048</v>
      </c>
      <c r="R101" s="10" t="n">
        <f aca="false">LN(M101)</f>
        <v>5.08618933558869</v>
      </c>
      <c r="S101" s="3" t="n">
        <v>0</v>
      </c>
      <c r="T101" s="3" t="s">
        <v>47</v>
      </c>
      <c r="U101" s="15" t="n">
        <v>0.080637441789</v>
      </c>
      <c r="V101" s="15" t="n">
        <v>0.060475278368</v>
      </c>
      <c r="W101" s="15" t="n">
        <v>0.080040004049</v>
      </c>
      <c r="X101" s="15" t="n">
        <v>0.080257994783</v>
      </c>
      <c r="Y101" s="15" t="n">
        <v>0.982047168479</v>
      </c>
    </row>
    <row r="102" customFormat="false" ht="15" hidden="false" customHeight="true" outlineLevel="0" collapsed="false">
      <c r="A102" s="3" t="s">
        <v>16</v>
      </c>
      <c r="B102" s="9" t="n">
        <v>45047</v>
      </c>
      <c r="C102" s="3" t="n">
        <v>2023</v>
      </c>
      <c r="D102" s="3" t="n">
        <v>5</v>
      </c>
      <c r="E102" s="3" t="n">
        <v>31</v>
      </c>
      <c r="F102" s="10" t="n">
        <f aca="false">Annual_Data!$C$9*U102</f>
        <v>4.307260820356</v>
      </c>
      <c r="G102" s="11" t="n">
        <f aca="false">Annual_Data!$D$9*V102</f>
        <v>0.068852987875</v>
      </c>
      <c r="H102" s="12" t="n">
        <f aca="false">Annual_Data!$E$8+(Annual_Data!$E$9-Annual_Data!$E$8)*D102/12</f>
        <v>39.0916666666667</v>
      </c>
      <c r="I102" s="13" t="n">
        <f aca="false">Annual_Data!$F$9*Y102</f>
        <v>3146.22331135944</v>
      </c>
      <c r="J102" s="13" t="n">
        <f aca="false">Annual_Data!$H$9*W102</f>
        <v>17173.4098717156</v>
      </c>
      <c r="K102" s="13" t="n">
        <f aca="false">Annual_Data!$I$9*X102</f>
        <v>15493.2821682228</v>
      </c>
      <c r="L102" s="12" t="n">
        <f aca="false">K102*0.0036</f>
        <v>55.775815805602</v>
      </c>
      <c r="M102" s="14" t="n">
        <f aca="false">K102/(I102*E102/1000)</f>
        <v>158.85181892355</v>
      </c>
      <c r="N102" s="10" t="n">
        <f aca="false">LN(F102)</f>
        <v>1.46030216155352</v>
      </c>
      <c r="O102" s="10" t="n">
        <f aca="false">LN(G102)</f>
        <v>-2.67578165787182</v>
      </c>
      <c r="P102" s="10" t="n">
        <f aca="false">LN(I102)</f>
        <v>8.05395806373081</v>
      </c>
      <c r="Q102" s="10" t="n">
        <f aca="false">LN(J102)</f>
        <v>9.75111752891593</v>
      </c>
      <c r="R102" s="10" t="n">
        <f aca="false">LN(M102)</f>
        <v>5.06797181122315</v>
      </c>
      <c r="S102" s="3" t="n">
        <v>0</v>
      </c>
      <c r="T102" s="3" t="s">
        <v>47</v>
      </c>
      <c r="U102" s="15" t="n">
        <v>0.082831938853</v>
      </c>
      <c r="V102" s="15" t="n">
        <v>0.068852987875</v>
      </c>
      <c r="W102" s="15" t="n">
        <v>0.087213184867</v>
      </c>
      <c r="X102" s="15" t="n">
        <v>0.083621812456</v>
      </c>
      <c r="Y102" s="15" t="n">
        <v>1.008404907487</v>
      </c>
    </row>
    <row r="103" customFormat="false" ht="15" hidden="false" customHeight="true" outlineLevel="0" collapsed="false">
      <c r="A103" s="3" t="s">
        <v>16</v>
      </c>
      <c r="B103" s="9" t="n">
        <v>45078</v>
      </c>
      <c r="C103" s="3" t="n">
        <v>2023</v>
      </c>
      <c r="D103" s="3" t="n">
        <v>6</v>
      </c>
      <c r="E103" s="3" t="n">
        <v>30</v>
      </c>
      <c r="F103" s="10" t="n">
        <f aca="false">Annual_Data!$C$9*U103</f>
        <v>4.307019161172</v>
      </c>
      <c r="G103" s="11" t="n">
        <f aca="false">Annual_Data!$D$9*V103</f>
        <v>0.07468394847</v>
      </c>
      <c r="H103" s="12" t="n">
        <f aca="false">Annual_Data!$E$8+(Annual_Data!$E$9-Annual_Data!$E$8)*D103/12</f>
        <v>39.25</v>
      </c>
      <c r="I103" s="13" t="n">
        <f aca="false">Annual_Data!$F$9*Y103</f>
        <v>3132.95996035152</v>
      </c>
      <c r="J103" s="13" t="n">
        <f aca="false">Annual_Data!$H$9*W103</f>
        <v>16109.2577111698</v>
      </c>
      <c r="K103" s="13" t="n">
        <f aca="false">Annual_Data!$I$9*X103</f>
        <v>15298.8527699508</v>
      </c>
      <c r="L103" s="12" t="n">
        <f aca="false">K103*0.0036</f>
        <v>55.0758699718227</v>
      </c>
      <c r="M103" s="14" t="n">
        <f aca="false">K103/(I103*E103/1000)</f>
        <v>162.773149179072</v>
      </c>
      <c r="N103" s="10" t="n">
        <f aca="false">LN(F103)</f>
        <v>1.46024605490628</v>
      </c>
      <c r="O103" s="10" t="n">
        <f aca="false">LN(G103)</f>
        <v>-2.59449008985304</v>
      </c>
      <c r="P103" s="10" t="n">
        <f aca="false">LN(I103)</f>
        <v>8.04973351089974</v>
      </c>
      <c r="Q103" s="10" t="n">
        <f aca="false">LN(J103)</f>
        <v>9.68714939883199</v>
      </c>
      <c r="R103" s="10" t="n">
        <f aca="false">LN(M103)</f>
        <v>5.09235750863329</v>
      </c>
      <c r="S103" s="3" t="n">
        <v>0</v>
      </c>
      <c r="T103" s="3" t="s">
        <v>47</v>
      </c>
      <c r="U103" s="15" t="n">
        <v>0.082827291561</v>
      </c>
      <c r="V103" s="15" t="n">
        <v>0.07468394847</v>
      </c>
      <c r="W103" s="15" t="n">
        <v>0.081809010635</v>
      </c>
      <c r="X103" s="15" t="n">
        <v>0.082572419661</v>
      </c>
      <c r="Y103" s="15" t="n">
        <v>1.004153833446</v>
      </c>
    </row>
    <row r="104" customFormat="false" ht="15" hidden="false" customHeight="true" outlineLevel="0" collapsed="false">
      <c r="A104" s="3" t="s">
        <v>16</v>
      </c>
      <c r="B104" s="9" t="n">
        <v>45108</v>
      </c>
      <c r="C104" s="3" t="n">
        <v>2023</v>
      </c>
      <c r="D104" s="3" t="n">
        <v>7</v>
      </c>
      <c r="E104" s="3" t="n">
        <v>31</v>
      </c>
      <c r="F104" s="10" t="n">
        <f aca="false">Annual_Data!$C$9*U104</f>
        <v>4.433206722828</v>
      </c>
      <c r="G104" s="11" t="n">
        <f aca="false">Annual_Data!$D$9*V104</f>
        <v>0.085395393816</v>
      </c>
      <c r="H104" s="12" t="n">
        <f aca="false">Annual_Data!$E$8+(Annual_Data!$E$9-Annual_Data!$E$8)*D104/12</f>
        <v>39.4083333333333</v>
      </c>
      <c r="I104" s="13" t="n">
        <f aca="false">Annual_Data!$F$9*Y104</f>
        <v>3147.44524123848</v>
      </c>
      <c r="J104" s="13" t="n">
        <f aca="false">Annual_Data!$H$9*W104</f>
        <v>16488.461016771</v>
      </c>
      <c r="K104" s="13" t="n">
        <f aca="false">Annual_Data!$I$9*X104</f>
        <v>16011.9180086596</v>
      </c>
      <c r="L104" s="12" t="n">
        <f aca="false">K104*0.0036</f>
        <v>57.6429048311744</v>
      </c>
      <c r="M104" s="14" t="n">
        <f aca="false">K104/(I104*E104/1000)</f>
        <v>164.105629982959</v>
      </c>
      <c r="N104" s="10" t="n">
        <f aca="false">LN(F104)</f>
        <v>1.48912318739119</v>
      </c>
      <c r="O104" s="10" t="n">
        <f aca="false">LN(G104)</f>
        <v>-2.46046311622304</v>
      </c>
      <c r="P104" s="10" t="n">
        <f aca="false">LN(I104)</f>
        <v>8.05434636822577</v>
      </c>
      <c r="Q104" s="10" t="n">
        <f aca="false">LN(J104)</f>
        <v>9.71041608292486</v>
      </c>
      <c r="R104" s="10" t="n">
        <f aca="false">LN(M104)</f>
        <v>5.10051030575226</v>
      </c>
      <c r="S104" s="3" t="n">
        <v>0</v>
      </c>
      <c r="T104" s="3" t="s">
        <v>47</v>
      </c>
      <c r="U104" s="15" t="n">
        <v>0.085253975439</v>
      </c>
      <c r="V104" s="15" t="n">
        <v>0.085395393816</v>
      </c>
      <c r="W104" s="15" t="n">
        <v>0.083734750965</v>
      </c>
      <c r="X104" s="15" t="n">
        <v>0.08642104302</v>
      </c>
      <c r="Y104" s="15" t="n">
        <v>1.008796551679</v>
      </c>
    </row>
    <row r="105" customFormat="false" ht="15" hidden="false" customHeight="true" outlineLevel="0" collapsed="false">
      <c r="A105" s="3" t="s">
        <v>16</v>
      </c>
      <c r="B105" s="9" t="n">
        <v>45139</v>
      </c>
      <c r="C105" s="3" t="n">
        <v>2023</v>
      </c>
      <c r="D105" s="3" t="n">
        <v>8</v>
      </c>
      <c r="E105" s="3" t="n">
        <v>31</v>
      </c>
      <c r="F105" s="10" t="n">
        <f aca="false">Annual_Data!$C$9*U105</f>
        <v>4.406264388656</v>
      </c>
      <c r="G105" s="11" t="n">
        <f aca="false">Annual_Data!$D$9*V105</f>
        <v>0.096889488085</v>
      </c>
      <c r="H105" s="12" t="n">
        <f aca="false">Annual_Data!$E$8+(Annual_Data!$E$9-Annual_Data!$E$8)*D105/12</f>
        <v>39.5666666666667</v>
      </c>
      <c r="I105" s="13" t="n">
        <f aca="false">Annual_Data!$F$9*Y105</f>
        <v>3111.43143943008</v>
      </c>
      <c r="J105" s="13" t="n">
        <f aca="false">Annual_Data!$H$9*W105</f>
        <v>16382.0203968128</v>
      </c>
      <c r="K105" s="13" t="n">
        <f aca="false">Annual_Data!$I$9*X105</f>
        <v>15784.1750758972</v>
      </c>
      <c r="L105" s="12" t="n">
        <f aca="false">K105*0.0036</f>
        <v>56.8230302732298</v>
      </c>
      <c r="M105" s="14" t="n">
        <f aca="false">K105/(I105*E105/1000)</f>
        <v>163.643952259295</v>
      </c>
      <c r="N105" s="10" t="n">
        <f aca="false">LN(F105)</f>
        <v>1.48302725308369</v>
      </c>
      <c r="O105" s="10" t="n">
        <f aca="false">LN(G105)</f>
        <v>-2.33418424806497</v>
      </c>
      <c r="P105" s="10" t="n">
        <f aca="false">LN(I105)</f>
        <v>8.04283816919478</v>
      </c>
      <c r="Q105" s="10" t="n">
        <f aca="false">LN(J105)</f>
        <v>9.70393969514942</v>
      </c>
      <c r="R105" s="10" t="n">
        <f aca="false">LN(M105)</f>
        <v>5.09769304492852</v>
      </c>
      <c r="S105" s="3" t="n">
        <v>0</v>
      </c>
      <c r="T105" s="3" t="s">
        <v>47</v>
      </c>
      <c r="U105" s="15" t="n">
        <v>0.084735853628</v>
      </c>
      <c r="V105" s="15" t="n">
        <v>0.096889488085</v>
      </c>
      <c r="W105" s="15" t="n">
        <v>0.083194204531</v>
      </c>
      <c r="X105" s="15" t="n">
        <v>0.085191847256</v>
      </c>
      <c r="Y105" s="15" t="n">
        <v>0.997253666484</v>
      </c>
    </row>
    <row r="106" customFormat="false" ht="15" hidden="false" customHeight="true" outlineLevel="0" collapsed="false">
      <c r="A106" s="3" t="s">
        <v>16</v>
      </c>
      <c r="B106" s="9" t="n">
        <v>45170</v>
      </c>
      <c r="C106" s="3" t="n">
        <v>2023</v>
      </c>
      <c r="D106" s="3" t="n">
        <v>9</v>
      </c>
      <c r="E106" s="3" t="n">
        <v>30</v>
      </c>
      <c r="F106" s="10" t="n">
        <f aca="false">Annual_Data!$C$9*U106</f>
        <v>4.154255342484</v>
      </c>
      <c r="G106" s="11" t="n">
        <f aca="false">Annual_Data!$D$9*V106</f>
        <v>0.092856806075</v>
      </c>
      <c r="H106" s="12" t="n">
        <f aca="false">Annual_Data!$E$8+(Annual_Data!$E$9-Annual_Data!$E$8)*D106/12</f>
        <v>39.725</v>
      </c>
      <c r="I106" s="13" t="n">
        <f aca="false">Annual_Data!$F$9*Y106</f>
        <v>3143.386203516</v>
      </c>
      <c r="J106" s="13" t="n">
        <f aca="false">Annual_Data!$H$9*W106</f>
        <v>15159.2533674564</v>
      </c>
      <c r="K106" s="13" t="n">
        <f aca="false">Annual_Data!$I$9*X106</f>
        <v>14878.9150911408</v>
      </c>
      <c r="L106" s="12" t="n">
        <f aca="false">K106*0.0036</f>
        <v>53.5640943281067</v>
      </c>
      <c r="M106" s="14" t="n">
        <f aca="false">K106/(I106*E106/1000)</f>
        <v>157.780114901759</v>
      </c>
      <c r="N106" s="10" t="n">
        <f aca="false">LN(F106)</f>
        <v>1.42413319262688</v>
      </c>
      <c r="O106" s="10" t="n">
        <f aca="false">LN(G106)</f>
        <v>-2.37669669203896</v>
      </c>
      <c r="P106" s="10" t="n">
        <f aca="false">LN(I106)</f>
        <v>8.05305590660034</v>
      </c>
      <c r="Q106" s="10" t="n">
        <f aca="false">LN(J106)</f>
        <v>9.62636640781575</v>
      </c>
      <c r="R106" s="10" t="n">
        <f aca="false">LN(M106)</f>
        <v>5.06120238590701</v>
      </c>
      <c r="S106" s="3" t="n">
        <v>0</v>
      </c>
      <c r="T106" s="3" t="s">
        <v>47</v>
      </c>
      <c r="U106" s="15" t="n">
        <v>0.079889525817</v>
      </c>
      <c r="V106" s="15" t="n">
        <v>0.092856806075</v>
      </c>
      <c r="W106" s="15" t="n">
        <v>0.076984522949</v>
      </c>
      <c r="X106" s="15" t="n">
        <v>0.080305892179</v>
      </c>
      <c r="Y106" s="15" t="n">
        <v>1.00749557805</v>
      </c>
    </row>
    <row r="107" customFormat="false" ht="15" hidden="false" customHeight="true" outlineLevel="0" collapsed="false">
      <c r="A107" s="3" t="s">
        <v>16</v>
      </c>
      <c r="B107" s="9" t="n">
        <v>45200</v>
      </c>
      <c r="C107" s="3" t="n">
        <v>2023</v>
      </c>
      <c r="D107" s="3" t="n">
        <v>10</v>
      </c>
      <c r="E107" s="3" t="n">
        <v>31</v>
      </c>
      <c r="F107" s="10" t="n">
        <f aca="false">Annual_Data!$C$9*U107</f>
        <v>4.340646753612</v>
      </c>
      <c r="G107" s="11" t="n">
        <f aca="false">Annual_Data!$D$9*V107</f>
        <v>0.100345886716</v>
      </c>
      <c r="H107" s="12" t="n">
        <f aca="false">Annual_Data!$E$8+(Annual_Data!$E$9-Annual_Data!$E$8)*D107/12</f>
        <v>39.8833333333333</v>
      </c>
      <c r="I107" s="13" t="n">
        <f aca="false">Annual_Data!$F$9*Y107</f>
        <v>3203.51896610928</v>
      </c>
      <c r="J107" s="13" t="n">
        <f aca="false">Annual_Data!$H$9*W107</f>
        <v>16077.7859960327</v>
      </c>
      <c r="K107" s="13" t="n">
        <f aca="false">Annual_Data!$I$9*X107</f>
        <v>15460.6781376761</v>
      </c>
      <c r="L107" s="12" t="n">
        <f aca="false">K107*0.0036</f>
        <v>55.6584412956341</v>
      </c>
      <c r="M107" s="14" t="n">
        <f aca="false">K107/(I107*E107/1000)</f>
        <v>155.682409907496</v>
      </c>
      <c r="N107" s="10" t="n">
        <f aca="false">LN(F107)</f>
        <v>1.46802335857929</v>
      </c>
      <c r="O107" s="10" t="n">
        <f aca="false">LN(G107)</f>
        <v>-2.29913219395706</v>
      </c>
      <c r="P107" s="10" t="n">
        <f aca="false">LN(I107)</f>
        <v>8.07200516149523</v>
      </c>
      <c r="Q107" s="10" t="n">
        <f aca="false">LN(J107)</f>
        <v>9.68519384643937</v>
      </c>
      <c r="R107" s="10" t="n">
        <f aca="false">LN(M107)</f>
        <v>5.04781809819645</v>
      </c>
      <c r="S107" s="3" t="n">
        <v>0</v>
      </c>
      <c r="T107" s="3" t="s">
        <v>47</v>
      </c>
      <c r="U107" s="15" t="n">
        <v>0.083473976031</v>
      </c>
      <c r="V107" s="15" t="n">
        <v>0.100345886716</v>
      </c>
      <c r="W107" s="15" t="n">
        <v>0.081649185153</v>
      </c>
      <c r="X107" s="15" t="n">
        <v>0.083445838889</v>
      </c>
      <c r="Y107" s="15" t="n">
        <v>1.026768899394</v>
      </c>
    </row>
    <row r="108" customFormat="false" ht="15" hidden="false" customHeight="true" outlineLevel="0" collapsed="false">
      <c r="A108" s="3" t="s">
        <v>16</v>
      </c>
      <c r="B108" s="9" t="n">
        <v>45231</v>
      </c>
      <c r="C108" s="3" t="n">
        <v>2023</v>
      </c>
      <c r="D108" s="3" t="n">
        <v>11</v>
      </c>
      <c r="E108" s="3" t="n">
        <v>30</v>
      </c>
      <c r="F108" s="10" t="n">
        <f aca="false">Annual_Data!$C$9*U108</f>
        <v>4.365316134192</v>
      </c>
      <c r="G108" s="11" t="n">
        <f aca="false">Annual_Data!$D$9*V108</f>
        <v>0.103486285814</v>
      </c>
      <c r="H108" s="12" t="n">
        <f aca="false">Annual_Data!$E$8+(Annual_Data!$E$9-Annual_Data!$E$8)*D108/12</f>
        <v>40.0416666666667</v>
      </c>
      <c r="I108" s="13" t="n">
        <f aca="false">Annual_Data!$F$9*Y108</f>
        <v>3199.69125906768</v>
      </c>
      <c r="J108" s="13" t="n">
        <f aca="false">Annual_Data!$H$9*W108</f>
        <v>15504.8076676439</v>
      </c>
      <c r="K108" s="13" t="n">
        <f aca="false">Annual_Data!$I$9*X108</f>
        <v>15686.9772217737</v>
      </c>
      <c r="L108" s="12" t="n">
        <f aca="false">K108*0.0036</f>
        <v>56.4731179983854</v>
      </c>
      <c r="M108" s="14" t="n">
        <f aca="false">K108/(I108*E108/1000)</f>
        <v>163.421779912026</v>
      </c>
      <c r="N108" s="10" t="n">
        <f aca="false">LN(F108)</f>
        <v>1.47369061145527</v>
      </c>
      <c r="O108" s="10" t="n">
        <f aca="false">LN(G108)</f>
        <v>-2.26831617926873</v>
      </c>
      <c r="P108" s="10" t="n">
        <f aca="false">LN(I108)</f>
        <v>8.07080960259182</v>
      </c>
      <c r="Q108" s="10" t="n">
        <f aca="false">LN(J108)</f>
        <v>9.64890542691997</v>
      </c>
      <c r="R108" s="10" t="n">
        <f aca="false">LN(M108)</f>
        <v>5.09633446553858</v>
      </c>
      <c r="S108" s="3" t="n">
        <v>0</v>
      </c>
      <c r="T108" s="3" t="s">
        <v>47</v>
      </c>
      <c r="U108" s="15" t="n">
        <v>0.083948387196</v>
      </c>
      <c r="V108" s="15" t="n">
        <v>0.103486285814</v>
      </c>
      <c r="W108" s="15" t="n">
        <v>0.078739380679</v>
      </c>
      <c r="X108" s="15" t="n">
        <v>0.084667241776</v>
      </c>
      <c r="Y108" s="15" t="n">
        <v>1.025542070214</v>
      </c>
    </row>
    <row r="109" customFormat="false" ht="15" hidden="false" customHeight="true" outlineLevel="0" collapsed="false">
      <c r="A109" s="3" t="s">
        <v>16</v>
      </c>
      <c r="B109" s="9" t="n">
        <v>45261</v>
      </c>
      <c r="C109" s="3" t="n">
        <v>2023</v>
      </c>
      <c r="D109" s="3" t="n">
        <v>12</v>
      </c>
      <c r="E109" s="3" t="n">
        <v>31</v>
      </c>
      <c r="F109" s="10" t="n">
        <f aca="false">Annual_Data!$C$9*U109</f>
        <v>4.508031509228</v>
      </c>
      <c r="G109" s="11" t="n">
        <f aca="false">Annual_Data!$D$9*V109</f>
        <v>0.126161289215</v>
      </c>
      <c r="H109" s="12" t="n">
        <f aca="false">Annual_Data!$E$8+(Annual_Data!$E$9-Annual_Data!$E$8)*D109/12</f>
        <v>40.2</v>
      </c>
      <c r="I109" s="13" t="n">
        <f aca="false">Annual_Data!$F$9*Y109</f>
        <v>3152.4893911992</v>
      </c>
      <c r="J109" s="13" t="n">
        <f aca="false">Annual_Data!$H$9*W109</f>
        <v>15722.7809958246</v>
      </c>
      <c r="K109" s="13" t="n">
        <f aca="false">Annual_Data!$I$9*X109</f>
        <v>16013.0175285369</v>
      </c>
      <c r="L109" s="12" t="n">
        <f aca="false">K109*0.0036</f>
        <v>57.646863102733</v>
      </c>
      <c r="M109" s="14" t="n">
        <f aca="false">K109/(I109*E109/1000)</f>
        <v>163.854303197815</v>
      </c>
      <c r="N109" s="10" t="n">
        <f aca="false">LN(F109)</f>
        <v>1.50586058577777</v>
      </c>
      <c r="O109" s="10" t="n">
        <f aca="false">LN(G109)</f>
        <v>-2.07019411749085</v>
      </c>
      <c r="P109" s="10" t="n">
        <f aca="false">LN(I109)</f>
        <v>8.05594770263094</v>
      </c>
      <c r="Q109" s="10" t="n">
        <f aca="false">LN(J109)</f>
        <v>9.66286595846814</v>
      </c>
      <c r="R109" s="10" t="n">
        <f aca="false">LN(M109)</f>
        <v>5.09897763783209</v>
      </c>
      <c r="S109" s="3" t="n">
        <v>0</v>
      </c>
      <c r="T109" s="3" t="s">
        <v>47</v>
      </c>
      <c r="U109" s="15" t="n">
        <v>0.086692913639</v>
      </c>
      <c r="V109" s="15" t="n">
        <v>0.126161289215</v>
      </c>
      <c r="W109" s="15" t="n">
        <v>0.079846333131</v>
      </c>
      <c r="X109" s="15" t="n">
        <v>0.086426977453</v>
      </c>
      <c r="Y109" s="15" t="n">
        <v>1.01041326641</v>
      </c>
    </row>
    <row r="110" customFormat="false" ht="15" hidden="false" customHeight="true" outlineLevel="0" collapsed="false">
      <c r="A110" s="3" t="s">
        <v>16</v>
      </c>
      <c r="B110" s="9" t="n">
        <v>45292</v>
      </c>
      <c r="C110" s="3" t="n">
        <v>2024</v>
      </c>
      <c r="D110" s="3" t="n">
        <v>1</v>
      </c>
      <c r="E110" s="3" t="n">
        <v>31</v>
      </c>
      <c r="F110" s="10" t="n">
        <f aca="false">Annual_Data!$C$10*U110</f>
        <v>4.4313408226</v>
      </c>
      <c r="G110" s="11" t="n">
        <f aca="false">Annual_Data!$D$10*V110</f>
        <v>0.136267345768</v>
      </c>
      <c r="H110" s="12" t="n">
        <f aca="false">Annual_Data!$E$9+(Annual_Data!$E$10-Annual_Data!$E$9)*D110/12</f>
        <v>40.2666666666667</v>
      </c>
      <c r="I110" s="13" t="n">
        <f aca="false">Annual_Data!$F$10*Y110</f>
        <v>3137.22087888735</v>
      </c>
      <c r="J110" s="13" t="n">
        <f aca="false">Annual_Data!$H$10*W110</f>
        <v>15651.8555399867</v>
      </c>
      <c r="K110" s="13" t="n">
        <f aca="false">Annual_Data!$I$10*X110</f>
        <v>15718.7748702888</v>
      </c>
      <c r="L110" s="12" t="n">
        <f aca="false">K110*0.0036</f>
        <v>56.5875895330398</v>
      </c>
      <c r="M110" s="14" t="n">
        <f aca="false">K110/(I110*E110/1000)</f>
        <v>161.626252487558</v>
      </c>
      <c r="N110" s="10" t="n">
        <f aca="false">LN(F110)</f>
        <v>1.48870220702056</v>
      </c>
      <c r="O110" s="10" t="n">
        <f aca="false">LN(G110)</f>
        <v>-1.99313654515282</v>
      </c>
      <c r="P110" s="10" t="n">
        <f aca="false">LN(I110)</f>
        <v>8.05109261657818</v>
      </c>
      <c r="Q110" s="10" t="n">
        <f aca="false">LN(J110)</f>
        <v>9.65834475379543</v>
      </c>
      <c r="R110" s="10" t="n">
        <f aca="false">LN(M110)</f>
        <v>5.08528658640497</v>
      </c>
      <c r="S110" s="3" t="n">
        <v>0</v>
      </c>
      <c r="T110" s="3" t="s">
        <v>47</v>
      </c>
      <c r="U110" s="15" t="n">
        <v>0.0836102042</v>
      </c>
      <c r="V110" s="15" t="n">
        <v>0.068133672884</v>
      </c>
      <c r="W110" s="15" t="n">
        <v>0.080924108596</v>
      </c>
      <c r="X110" s="15" t="n">
        <v>0.084082799503</v>
      </c>
      <c r="Y110" s="15" t="n">
        <v>0.939850473004</v>
      </c>
    </row>
    <row r="111" customFormat="false" ht="15" hidden="false" customHeight="true" outlineLevel="0" collapsed="false">
      <c r="A111" s="3" t="s">
        <v>16</v>
      </c>
      <c r="B111" s="9" t="n">
        <v>45323</v>
      </c>
      <c r="C111" s="3" t="n">
        <v>2024</v>
      </c>
      <c r="D111" s="3" t="n">
        <v>2</v>
      </c>
      <c r="E111" s="3" t="n">
        <v>29</v>
      </c>
      <c r="F111" s="10" t="n">
        <f aca="false">Annual_Data!$C$10*U111</f>
        <v>4.134869228832</v>
      </c>
      <c r="G111" s="11" t="n">
        <f aca="false">Annual_Data!$D$10*V111</f>
        <v>0.14503613723</v>
      </c>
      <c r="H111" s="12" t="n">
        <f aca="false">Annual_Data!$E$9+(Annual_Data!$E$10-Annual_Data!$E$9)*D111/12</f>
        <v>40.3333333333333</v>
      </c>
      <c r="I111" s="13" t="n">
        <f aca="false">Annual_Data!$F$10*Y111</f>
        <v>3205.94107411072</v>
      </c>
      <c r="J111" s="13" t="n">
        <f aca="false">Annual_Data!$H$10*W111</f>
        <v>15098.7849361626</v>
      </c>
      <c r="K111" s="13" t="n">
        <f aca="false">Annual_Data!$I$10*X111</f>
        <v>14676.9614161358</v>
      </c>
      <c r="L111" s="12" t="n">
        <f aca="false">K111*0.0036</f>
        <v>52.8370610980889</v>
      </c>
      <c r="M111" s="14" t="n">
        <f aca="false">K111/(I111*E111/1000)</f>
        <v>157.863824099815</v>
      </c>
      <c r="N111" s="10" t="n">
        <f aca="false">LN(F111)</f>
        <v>1.41945570254194</v>
      </c>
      <c r="O111" s="10" t="n">
        <f aca="false">LN(G111)</f>
        <v>-1.93077234533641</v>
      </c>
      <c r="P111" s="10" t="n">
        <f aca="false">LN(I111)</f>
        <v>8.07276095312246</v>
      </c>
      <c r="Q111" s="10" t="n">
        <f aca="false">LN(J111)</f>
        <v>9.62236955176151</v>
      </c>
      <c r="R111" s="10" t="n">
        <f aca="false">LN(M111)</f>
        <v>5.06173278861509</v>
      </c>
      <c r="S111" s="3" t="n">
        <v>0</v>
      </c>
      <c r="T111" s="3" t="s">
        <v>47</v>
      </c>
      <c r="U111" s="15" t="n">
        <v>0.078016400544</v>
      </c>
      <c r="V111" s="15" t="n">
        <v>0.072518068615</v>
      </c>
      <c r="W111" s="15" t="n">
        <v>0.078064591685</v>
      </c>
      <c r="X111" s="15" t="n">
        <v>0.078509935682</v>
      </c>
      <c r="Y111" s="15" t="n">
        <v>0.96043770944</v>
      </c>
    </row>
    <row r="112" customFormat="false" ht="15" hidden="false" customHeight="true" outlineLevel="0" collapsed="false">
      <c r="A112" s="3" t="s">
        <v>16</v>
      </c>
      <c r="B112" s="9" t="n">
        <v>45352</v>
      </c>
      <c r="C112" s="3" t="n">
        <v>2024</v>
      </c>
      <c r="D112" s="3" t="n">
        <v>3</v>
      </c>
      <c r="E112" s="3" t="n">
        <v>31</v>
      </c>
      <c r="F112" s="10" t="n">
        <f aca="false">Annual_Data!$C$10*U112</f>
        <v>4.454011292018</v>
      </c>
      <c r="G112" s="11" t="n">
        <f aca="false">Annual_Data!$D$10*V112</f>
        <v>0.14928884965</v>
      </c>
      <c r="H112" s="12" t="n">
        <f aca="false">Annual_Data!$E$9+(Annual_Data!$E$10-Annual_Data!$E$9)*D112/12</f>
        <v>40.4</v>
      </c>
      <c r="I112" s="13" t="n">
        <f aca="false">Annual_Data!$F$10*Y112</f>
        <v>3264.29525995994</v>
      </c>
      <c r="J112" s="13" t="n">
        <f aca="false">Annual_Data!$H$10*W112</f>
        <v>16721.9932148766</v>
      </c>
      <c r="K112" s="13" t="n">
        <f aca="false">Annual_Data!$I$10*X112</f>
        <v>15860.1196221652</v>
      </c>
      <c r="L112" s="12" t="n">
        <f aca="false">K112*0.0036</f>
        <v>57.0964306397947</v>
      </c>
      <c r="M112" s="14" t="n">
        <f aca="false">K112/(I112*E112/1000)</f>
        <v>156.73115366764</v>
      </c>
      <c r="N112" s="10" t="n">
        <f aca="false">LN(F112)</f>
        <v>1.49380510408522</v>
      </c>
      <c r="O112" s="10" t="n">
        <f aca="false">LN(G112)</f>
        <v>-1.9018722614189</v>
      </c>
      <c r="P112" s="10" t="n">
        <f aca="false">LN(I112)</f>
        <v>8.09079917153933</v>
      </c>
      <c r="Q112" s="10" t="n">
        <f aca="false">LN(J112)</f>
        <v>9.72448009094964</v>
      </c>
      <c r="R112" s="10" t="n">
        <f aca="false">LN(M112)</f>
        <v>5.05453194049922</v>
      </c>
      <c r="S112" s="3" t="n">
        <v>0</v>
      </c>
      <c r="T112" s="3" t="s">
        <v>47</v>
      </c>
      <c r="U112" s="15" t="n">
        <v>0.084037948906</v>
      </c>
      <c r="V112" s="15" t="n">
        <v>0.074644424825</v>
      </c>
      <c r="W112" s="15" t="n">
        <v>0.086456994917</v>
      </c>
      <c r="X112" s="15" t="n">
        <v>0.084838880211</v>
      </c>
      <c r="Y112" s="15" t="n">
        <v>0.977919490701</v>
      </c>
    </row>
    <row r="113" customFormat="false" ht="15" hidden="false" customHeight="true" outlineLevel="0" collapsed="false">
      <c r="A113" s="3" t="s">
        <v>16</v>
      </c>
      <c r="B113" s="9" t="n">
        <v>45383</v>
      </c>
      <c r="C113" s="3" t="n">
        <v>2024</v>
      </c>
      <c r="D113" s="3" t="n">
        <v>4</v>
      </c>
      <c r="E113" s="3" t="n">
        <v>30</v>
      </c>
      <c r="F113" s="10" t="n">
        <f aca="false">Annual_Data!$C$10*U113</f>
        <v>4.276454358293</v>
      </c>
      <c r="G113" s="11" t="n">
        <f aca="false">Annual_Data!$D$10*V113</f>
        <v>0.149122561512</v>
      </c>
      <c r="H113" s="12" t="n">
        <f aca="false">Annual_Data!$E$9+(Annual_Data!$E$10-Annual_Data!$E$9)*D113/12</f>
        <v>40.4666666666667</v>
      </c>
      <c r="I113" s="13" t="n">
        <f aca="false">Annual_Data!$F$10*Y113</f>
        <v>3273.42027016421</v>
      </c>
      <c r="J113" s="13" t="n">
        <f aca="false">Annual_Data!$H$10*W113</f>
        <v>15628.5078935254</v>
      </c>
      <c r="K113" s="13" t="n">
        <f aca="false">Annual_Data!$I$10*X113</f>
        <v>15010.1431155765</v>
      </c>
      <c r="L113" s="12" t="n">
        <f aca="false">K113*0.0036</f>
        <v>54.0365152160754</v>
      </c>
      <c r="M113" s="14" t="n">
        <f aca="false">K113/(I113*E113/1000)</f>
        <v>152.848721691166</v>
      </c>
      <c r="N113" s="10" t="n">
        <f aca="false">LN(F113)</f>
        <v>1.45312424530386</v>
      </c>
      <c r="O113" s="10" t="n">
        <f aca="false">LN(G113)</f>
        <v>-1.90298675067093</v>
      </c>
      <c r="P113" s="10" t="n">
        <f aca="false">LN(I113)</f>
        <v>8.09359067144102</v>
      </c>
      <c r="Q113" s="10" t="n">
        <f aca="false">LN(J113)</f>
        <v>9.65685195459271</v>
      </c>
      <c r="R113" s="10" t="n">
        <f aca="false">LN(M113)</f>
        <v>5.029448685143</v>
      </c>
      <c r="S113" s="3" t="n">
        <v>0</v>
      </c>
      <c r="T113" s="3" t="s">
        <v>47</v>
      </c>
      <c r="U113" s="15" t="n">
        <v>0.080687818081</v>
      </c>
      <c r="V113" s="15" t="n">
        <v>0.074561280756</v>
      </c>
      <c r="W113" s="15" t="n">
        <v>0.080803395274</v>
      </c>
      <c r="X113" s="15" t="n">
        <v>0.080292189723</v>
      </c>
      <c r="Y113" s="15" t="n">
        <v>0.980653166616</v>
      </c>
    </row>
    <row r="114" customFormat="false" ht="15" hidden="false" customHeight="true" outlineLevel="0" collapsed="false">
      <c r="A114" s="3" t="s">
        <v>16</v>
      </c>
      <c r="B114" s="9" t="n">
        <v>45413</v>
      </c>
      <c r="C114" s="3" t="n">
        <v>2024</v>
      </c>
      <c r="D114" s="3" t="n">
        <v>5</v>
      </c>
      <c r="E114" s="3" t="n">
        <v>31</v>
      </c>
      <c r="F114" s="10" t="n">
        <f aca="false">Annual_Data!$C$10*U114</f>
        <v>4.402570903885</v>
      </c>
      <c r="G114" s="11" t="n">
        <f aca="false">Annual_Data!$D$10*V114</f>
        <v>0.166525552584</v>
      </c>
      <c r="H114" s="12" t="n">
        <f aca="false">Annual_Data!$E$9+(Annual_Data!$E$10-Annual_Data!$E$9)*D114/12</f>
        <v>40.5333333333333</v>
      </c>
      <c r="I114" s="13" t="n">
        <f aca="false">Annual_Data!$F$10*Y114</f>
        <v>3294.60568601771</v>
      </c>
      <c r="J114" s="13" t="n">
        <f aca="false">Annual_Data!$H$10*W114</f>
        <v>17111.0087457844</v>
      </c>
      <c r="K114" s="13" t="n">
        <f aca="false">Annual_Data!$I$10*X114</f>
        <v>15229.9541810305</v>
      </c>
      <c r="L114" s="12" t="n">
        <f aca="false">K114*0.0036</f>
        <v>54.8278350517097</v>
      </c>
      <c r="M114" s="14" t="n">
        <f aca="false">K114/(I114*E114/1000)</f>
        <v>149.119163678494</v>
      </c>
      <c r="N114" s="10" t="n">
        <f aca="false">LN(F114)</f>
        <v>1.48218866662707</v>
      </c>
      <c r="O114" s="10" t="n">
        <f aca="false">LN(G114)</f>
        <v>-1.79260651236382</v>
      </c>
      <c r="P114" s="10" t="n">
        <f aca="false">LN(I114)</f>
        <v>8.1000417693712</v>
      </c>
      <c r="Q114" s="10" t="n">
        <f aca="false">LN(J114)</f>
        <v>9.74747732165243</v>
      </c>
      <c r="R114" s="10" t="n">
        <f aca="false">LN(M114)</f>
        <v>5.00474574254235</v>
      </c>
      <c r="S114" s="3" t="n">
        <v>0</v>
      </c>
      <c r="T114" s="3" t="s">
        <v>47</v>
      </c>
      <c r="U114" s="15" t="n">
        <v>0.083067375545</v>
      </c>
      <c r="V114" s="15" t="n">
        <v>0.083262776292</v>
      </c>
      <c r="W114" s="15" t="n">
        <v>0.088468305013</v>
      </c>
      <c r="X114" s="15" t="n">
        <v>0.081468002081</v>
      </c>
      <c r="Y114" s="15" t="n">
        <v>0.986999905937</v>
      </c>
    </row>
    <row r="115" customFormat="false" ht="15" hidden="false" customHeight="true" outlineLevel="0" collapsed="false">
      <c r="A115" s="3" t="s">
        <v>16</v>
      </c>
      <c r="B115" s="9" t="n">
        <v>45444</v>
      </c>
      <c r="C115" s="3" t="n">
        <v>2024</v>
      </c>
      <c r="D115" s="3" t="n">
        <v>6</v>
      </c>
      <c r="E115" s="3" t="n">
        <v>30</v>
      </c>
      <c r="F115" s="10" t="n">
        <f aca="false">Annual_Data!$C$10*U115</f>
        <v>4.354292091256</v>
      </c>
      <c r="G115" s="11" t="n">
        <f aca="false">Annual_Data!$D$10*V115</f>
        <v>0.170930383622</v>
      </c>
      <c r="H115" s="12" t="n">
        <f aca="false">Annual_Data!$E$9+(Annual_Data!$E$10-Annual_Data!$E$9)*D115/12</f>
        <v>40.6</v>
      </c>
      <c r="I115" s="13" t="n">
        <f aca="false">Annual_Data!$F$10*Y115</f>
        <v>3332.27915978754</v>
      </c>
      <c r="J115" s="13" t="n">
        <f aca="false">Annual_Data!$H$10*W115</f>
        <v>16279.8929160381</v>
      </c>
      <c r="K115" s="13" t="n">
        <f aca="false">Annual_Data!$I$10*X115</f>
        <v>15245.2341924435</v>
      </c>
      <c r="L115" s="12" t="n">
        <f aca="false">K115*0.0036</f>
        <v>54.8828430927964</v>
      </c>
      <c r="M115" s="14" t="n">
        <f aca="false">K115/(I115*E115/1000)</f>
        <v>152.500570544591</v>
      </c>
      <c r="N115" s="10" t="n">
        <f aca="false">LN(F115)</f>
        <v>1.47116204628936</v>
      </c>
      <c r="O115" s="10" t="n">
        <f aca="false">LN(G115)</f>
        <v>-1.76649891869424</v>
      </c>
      <c r="P115" s="10" t="n">
        <f aca="false">LN(I115)</f>
        <v>8.11141178122611</v>
      </c>
      <c r="Q115" s="10" t="n">
        <f aca="false">LN(J115)</f>
        <v>9.69768606189596</v>
      </c>
      <c r="R115" s="10" t="n">
        <f aca="false">LN(M115)</f>
        <v>5.02716833731647</v>
      </c>
      <c r="S115" s="3" t="n">
        <v>0</v>
      </c>
      <c r="T115" s="3" t="s">
        <v>47</v>
      </c>
      <c r="U115" s="15" t="n">
        <v>0.082156454552</v>
      </c>
      <c r="V115" s="15" t="n">
        <v>0.085465191811</v>
      </c>
      <c r="W115" s="15" t="n">
        <v>0.084171222952</v>
      </c>
      <c r="X115" s="15" t="n">
        <v>0.081549737849</v>
      </c>
      <c r="Y115" s="15" t="n">
        <v>0.99828614733</v>
      </c>
    </row>
    <row r="116" customFormat="false" ht="15" hidden="false" customHeight="true" outlineLevel="0" collapsed="false">
      <c r="A116" s="3" t="s">
        <v>16</v>
      </c>
      <c r="B116" s="9" t="n">
        <v>45474</v>
      </c>
      <c r="C116" s="3" t="n">
        <v>2024</v>
      </c>
      <c r="D116" s="3" t="n">
        <v>7</v>
      </c>
      <c r="E116" s="3" t="n">
        <v>31</v>
      </c>
      <c r="F116" s="10" t="n">
        <f aca="false">Annual_Data!$C$10*U116</f>
        <v>4.644920661546</v>
      </c>
      <c r="G116" s="11" t="n">
        <f aca="false">Annual_Data!$D$10*V116</f>
        <v>0.178642490046</v>
      </c>
      <c r="H116" s="12" t="n">
        <f aca="false">Annual_Data!$E$9+(Annual_Data!$E$10-Annual_Data!$E$9)*D116/12</f>
        <v>40.6666666666667</v>
      </c>
      <c r="I116" s="13" t="n">
        <f aca="false">Annual_Data!$F$10*Y116</f>
        <v>3391.44549425524</v>
      </c>
      <c r="J116" s="13" t="n">
        <f aca="false">Annual_Data!$H$10*W116</f>
        <v>16863.6420257591</v>
      </c>
      <c r="K116" s="13" t="n">
        <f aca="false">Annual_Data!$I$10*X116</f>
        <v>16149.6478926315</v>
      </c>
      <c r="L116" s="12" t="n">
        <f aca="false">K116*0.0036</f>
        <v>58.1387324134734</v>
      </c>
      <c r="M116" s="14" t="n">
        <f aca="false">K116/(I116*E116/1000)</f>
        <v>153.608950671836</v>
      </c>
      <c r="N116" s="10" t="n">
        <f aca="false">LN(F116)</f>
        <v>1.53577429172079</v>
      </c>
      <c r="O116" s="10" t="n">
        <f aca="false">LN(G116)</f>
        <v>-1.72236873264232</v>
      </c>
      <c r="P116" s="10" t="n">
        <f aca="false">LN(I116)</f>
        <v>8.12901150897739</v>
      </c>
      <c r="Q116" s="10" t="n">
        <f aca="false">LN(J116)</f>
        <v>9.7329152239905</v>
      </c>
      <c r="R116" s="10" t="n">
        <f aca="false">LN(M116)</f>
        <v>5.03441009161889</v>
      </c>
      <c r="S116" s="3" t="n">
        <v>0</v>
      </c>
      <c r="T116" s="3" t="s">
        <v>47</v>
      </c>
      <c r="U116" s="15" t="n">
        <v>0.087640012482</v>
      </c>
      <c r="V116" s="15" t="n">
        <v>0.089321245023</v>
      </c>
      <c r="W116" s="15" t="n">
        <v>0.087189355609</v>
      </c>
      <c r="X116" s="15" t="n">
        <v>0.086387623527</v>
      </c>
      <c r="Y116" s="15" t="n">
        <v>1.016011232551</v>
      </c>
    </row>
    <row r="117" customFormat="false" ht="15" hidden="false" customHeight="true" outlineLevel="0" collapsed="false">
      <c r="A117" s="3" t="s">
        <v>16</v>
      </c>
      <c r="B117" s="9" t="n">
        <v>45505</v>
      </c>
      <c r="C117" s="3" t="n">
        <v>2024</v>
      </c>
      <c r="D117" s="3" t="n">
        <v>8</v>
      </c>
      <c r="E117" s="3" t="n">
        <v>31</v>
      </c>
      <c r="F117" s="10" t="n">
        <f aca="false">Annual_Data!$C$10*U117</f>
        <v>4.599495288039</v>
      </c>
      <c r="G117" s="11" t="n">
        <f aca="false">Annual_Data!$D$10*V117</f>
        <v>0.19141662849</v>
      </c>
      <c r="H117" s="12" t="n">
        <f aca="false">Annual_Data!$E$9+(Annual_Data!$E$10-Annual_Data!$E$9)*D117/12</f>
        <v>40.7333333333333</v>
      </c>
      <c r="I117" s="13" t="n">
        <f aca="false">Annual_Data!$F$10*Y117</f>
        <v>3348.82969745324</v>
      </c>
      <c r="J117" s="13" t="n">
        <f aca="false">Annual_Data!$H$10*W117</f>
        <v>15783.8606181964</v>
      </c>
      <c r="K117" s="13" t="n">
        <f aca="false">Annual_Data!$I$10*X117</f>
        <v>16163.1457844652</v>
      </c>
      <c r="L117" s="12" t="n">
        <f aca="false">K117*0.0036</f>
        <v>58.1873248240748</v>
      </c>
      <c r="M117" s="14" t="n">
        <f aca="false">K117/(I117*E117/1000)</f>
        <v>155.693733812559</v>
      </c>
      <c r="N117" s="10" t="n">
        <f aca="false">LN(F117)</f>
        <v>1.52594657748385</v>
      </c>
      <c r="O117" s="10" t="n">
        <f aca="false">LN(G117)</f>
        <v>-1.65330292552381</v>
      </c>
      <c r="P117" s="10" t="n">
        <f aca="false">LN(I117)</f>
        <v>8.11636621974046</v>
      </c>
      <c r="Q117" s="10" t="n">
        <f aca="false">LN(J117)</f>
        <v>9.66674321708797</v>
      </c>
      <c r="R117" s="10" t="n">
        <f aca="false">LN(M117)</f>
        <v>5.04789083276715</v>
      </c>
      <c r="S117" s="3" t="n">
        <v>0</v>
      </c>
      <c r="T117" s="3" t="s">
        <v>47</v>
      </c>
      <c r="U117" s="15" t="n">
        <v>0.086782929963</v>
      </c>
      <c r="V117" s="15" t="n">
        <v>0.095708314245</v>
      </c>
      <c r="W117" s="15" t="n">
        <v>0.081606608716</v>
      </c>
      <c r="X117" s="15" t="n">
        <v>0.086459826389</v>
      </c>
      <c r="Y117" s="15" t="n">
        <v>1.003244367122</v>
      </c>
    </row>
    <row r="118" customFormat="false" ht="15" hidden="false" customHeight="true" outlineLevel="0" collapsed="false">
      <c r="A118" s="3" t="s">
        <v>16</v>
      </c>
      <c r="B118" s="9" t="n">
        <v>45536</v>
      </c>
      <c r="C118" s="3" t="n">
        <v>2024</v>
      </c>
      <c r="D118" s="3" t="n">
        <v>9</v>
      </c>
      <c r="E118" s="3" t="n">
        <v>30</v>
      </c>
      <c r="F118" s="10" t="n">
        <f aca="false">Annual_Data!$C$10*U118</f>
        <v>4.285049051512</v>
      </c>
      <c r="G118" s="11" t="n">
        <f aca="false">Annual_Data!$D$10*V118</f>
        <v>0.178559337264</v>
      </c>
      <c r="H118" s="12" t="n">
        <f aca="false">Annual_Data!$E$9+(Annual_Data!$E$10-Annual_Data!$E$9)*D118/12</f>
        <v>40.8</v>
      </c>
      <c r="I118" s="13" t="n">
        <f aca="false">Annual_Data!$F$10*Y118</f>
        <v>3408.19745750251</v>
      </c>
      <c r="J118" s="13" t="n">
        <f aca="false">Annual_Data!$H$10*W118</f>
        <v>16000.3353756057</v>
      </c>
      <c r="K118" s="13" t="n">
        <f aca="false">Annual_Data!$I$10*X118</f>
        <v>15202.1413791749</v>
      </c>
      <c r="L118" s="12" t="n">
        <f aca="false">K118*0.0036</f>
        <v>54.7277089650295</v>
      </c>
      <c r="M118" s="14" t="n">
        <f aca="false">K118/(I118*E118/1000)</f>
        <v>148.682126634713</v>
      </c>
      <c r="N118" s="10" t="n">
        <f aca="false">LN(F118)</f>
        <v>1.4551319992449</v>
      </c>
      <c r="O118" s="10" t="n">
        <f aca="false">LN(G118)</f>
        <v>-1.72283431135522</v>
      </c>
      <c r="P118" s="10" t="n">
        <f aca="false">LN(I118)</f>
        <v>8.1339388256788</v>
      </c>
      <c r="Q118" s="10" t="n">
        <f aca="false">LN(J118)</f>
        <v>9.6803649619776</v>
      </c>
      <c r="R118" s="10" t="n">
        <f aca="false">LN(M118)</f>
        <v>5.00181064876174</v>
      </c>
      <c r="S118" s="3" t="n">
        <v>0</v>
      </c>
      <c r="T118" s="3" t="s">
        <v>47</v>
      </c>
      <c r="U118" s="15" t="n">
        <v>0.080849982104</v>
      </c>
      <c r="V118" s="15" t="n">
        <v>0.089279668632</v>
      </c>
      <c r="W118" s="15" t="n">
        <v>0.082725838748</v>
      </c>
      <c r="X118" s="15" t="n">
        <v>0.081319225967</v>
      </c>
      <c r="Y118" s="15" t="n">
        <v>1.021029795537</v>
      </c>
    </row>
    <row r="119" customFormat="false" ht="15" hidden="false" customHeight="true" outlineLevel="0" collapsed="false">
      <c r="A119" s="3" t="s">
        <v>16</v>
      </c>
      <c r="B119" s="9" t="n">
        <v>45566</v>
      </c>
      <c r="C119" s="3" t="n">
        <v>2024</v>
      </c>
      <c r="D119" s="3" t="n">
        <v>10</v>
      </c>
      <c r="E119" s="3" t="n">
        <v>31</v>
      </c>
      <c r="F119" s="10" t="n">
        <f aca="false">Annual_Data!$C$10*U119</f>
        <v>4.338522071371</v>
      </c>
      <c r="G119" s="11" t="n">
        <f aca="false">Annual_Data!$D$10*V119</f>
        <v>0.17394409387</v>
      </c>
      <c r="H119" s="12" t="n">
        <f aca="false">Annual_Data!$E$9+(Annual_Data!$E$10-Annual_Data!$E$9)*D119/12</f>
        <v>40.8666666666667</v>
      </c>
      <c r="I119" s="13" t="n">
        <f aca="false">Annual_Data!$F$10*Y119</f>
        <v>3421.39676652733</v>
      </c>
      <c r="J119" s="13" t="n">
        <f aca="false">Annual_Data!$H$10*W119</f>
        <v>15984.512543172</v>
      </c>
      <c r="K119" s="13" t="n">
        <f aca="false">Annual_Data!$I$10*X119</f>
        <v>15421.6668721524</v>
      </c>
      <c r="L119" s="12" t="n">
        <f aca="false">K119*0.0036</f>
        <v>55.5180007397488</v>
      </c>
      <c r="M119" s="14" t="n">
        <f aca="false">K119/(I119*E119/1000)</f>
        <v>145.400594802418</v>
      </c>
      <c r="N119" s="10" t="n">
        <f aca="false">LN(F119)</f>
        <v>1.46753375356611</v>
      </c>
      <c r="O119" s="10" t="n">
        <f aca="false">LN(G119)</f>
        <v>-1.74902133099308</v>
      </c>
      <c r="P119" s="10" t="n">
        <f aca="false">LN(I119)</f>
        <v>8.13780415794477</v>
      </c>
      <c r="Q119" s="10" t="n">
        <f aca="false">LN(J119)</f>
        <v>9.6793755663885</v>
      </c>
      <c r="R119" s="10" t="n">
        <f aca="false">LN(M119)</f>
        <v>4.97949265589173</v>
      </c>
      <c r="S119" s="3" t="n">
        <v>0</v>
      </c>
      <c r="T119" s="3" t="s">
        <v>47</v>
      </c>
      <c r="U119" s="15" t="n">
        <v>0.081858907007</v>
      </c>
      <c r="V119" s="15" t="n">
        <v>0.086972046935</v>
      </c>
      <c r="W119" s="15" t="n">
        <v>0.082644030645</v>
      </c>
      <c r="X119" s="15" t="n">
        <v>0.082493510742</v>
      </c>
      <c r="Y119" s="15" t="n">
        <v>1.024984052285</v>
      </c>
    </row>
    <row r="120" customFormat="false" ht="15" hidden="false" customHeight="true" outlineLevel="0" collapsed="false">
      <c r="A120" s="3" t="s">
        <v>16</v>
      </c>
      <c r="B120" s="9" t="n">
        <v>45597</v>
      </c>
      <c r="C120" s="3" t="n">
        <v>2024</v>
      </c>
      <c r="D120" s="3" t="n">
        <v>11</v>
      </c>
      <c r="E120" s="3" t="n">
        <v>30</v>
      </c>
      <c r="F120" s="10" t="n">
        <f aca="false">Annual_Data!$C$10*U120</f>
        <v>4.409920949662</v>
      </c>
      <c r="G120" s="11" t="n">
        <f aca="false">Annual_Data!$D$10*V120</f>
        <v>0.174250524698</v>
      </c>
      <c r="H120" s="12" t="n">
        <f aca="false">Annual_Data!$E$9+(Annual_Data!$E$10-Annual_Data!$E$9)*D120/12</f>
        <v>40.9333333333333</v>
      </c>
      <c r="I120" s="13" t="n">
        <f aca="false">Annual_Data!$F$10*Y120</f>
        <v>3444.83710635091</v>
      </c>
      <c r="J120" s="13" t="n">
        <f aca="false">Annual_Data!$H$10*W120</f>
        <v>15781.2880268992</v>
      </c>
      <c r="K120" s="13" t="n">
        <f aca="false">Annual_Data!$I$10*X120</f>
        <v>15533.3958876881</v>
      </c>
      <c r="L120" s="12" t="n">
        <f aca="false">K120*0.0036</f>
        <v>55.9202251956773</v>
      </c>
      <c r="M120" s="14" t="n">
        <f aca="false">K120/(I120*E120/1000)</f>
        <v>150.306051327756</v>
      </c>
      <c r="N120" s="10" t="n">
        <f aca="false">LN(F120)</f>
        <v>1.48385676405138</v>
      </c>
      <c r="O120" s="10" t="n">
        <f aca="false">LN(G120)</f>
        <v>-1.7472612181667</v>
      </c>
      <c r="P120" s="10" t="n">
        <f aca="false">LN(I120)</f>
        <v>8.14463189825172</v>
      </c>
      <c r="Q120" s="10" t="n">
        <f aca="false">LN(J120)</f>
        <v>9.66658021508017</v>
      </c>
      <c r="R120" s="10" t="n">
        <f aca="false">LN(M120)</f>
        <v>5.01267355761016</v>
      </c>
      <c r="S120" s="3" t="n">
        <v>0</v>
      </c>
      <c r="T120" s="3" t="s">
        <v>47</v>
      </c>
      <c r="U120" s="15" t="n">
        <v>0.083206055654</v>
      </c>
      <c r="V120" s="15" t="n">
        <v>0.087125262349</v>
      </c>
      <c r="W120" s="15" t="n">
        <v>0.081593307759</v>
      </c>
      <c r="X120" s="15" t="n">
        <v>0.083091171087</v>
      </c>
      <c r="Y120" s="15" t="n">
        <v>1.032006323053</v>
      </c>
    </row>
    <row r="121" customFormat="false" ht="15" hidden="false" customHeight="true" outlineLevel="0" collapsed="false">
      <c r="A121" s="3" t="s">
        <v>16</v>
      </c>
      <c r="B121" s="9" t="n">
        <v>45627</v>
      </c>
      <c r="C121" s="3" t="n">
        <v>2024</v>
      </c>
      <c r="D121" s="3" t="n">
        <v>12</v>
      </c>
      <c r="E121" s="3" t="n">
        <v>31</v>
      </c>
      <c r="F121" s="10" t="n">
        <f aca="false">Annual_Data!$C$10*U121</f>
        <v>4.668553280933</v>
      </c>
      <c r="G121" s="11" t="n">
        <f aca="false">Annual_Data!$D$10*V121</f>
        <v>0.186016095266</v>
      </c>
      <c r="H121" s="12" t="n">
        <f aca="false">Annual_Data!$E$9+(Annual_Data!$E$10-Annual_Data!$E$9)*D121/12</f>
        <v>41</v>
      </c>
      <c r="I121" s="13" t="n">
        <f aca="false">Annual_Data!$F$10*Y121</f>
        <v>3528.45425033535</v>
      </c>
      <c r="J121" s="13" t="n">
        <f aca="false">Annual_Data!$H$10*W121</f>
        <v>16508.3181638002</v>
      </c>
      <c r="K121" s="13" t="n">
        <f aca="false">Annual_Data!$I$10*X121</f>
        <v>16732.8147860607</v>
      </c>
      <c r="L121" s="12" t="n">
        <f aca="false">K121*0.0036</f>
        <v>60.2381332298184</v>
      </c>
      <c r="M121" s="14" t="n">
        <f aca="false">K121/(I121*E121/1000)</f>
        <v>152.97583038065</v>
      </c>
      <c r="N121" s="10" t="n">
        <f aca="false">LN(F121)</f>
        <v>1.54084923373588</v>
      </c>
      <c r="O121" s="10" t="n">
        <f aca="false">LN(G121)</f>
        <v>-1.68192207532459</v>
      </c>
      <c r="P121" s="10" t="n">
        <f aca="false">LN(I121)</f>
        <v>8.16861516460236</v>
      </c>
      <c r="Q121" s="10" t="n">
        <f aca="false">LN(J121)</f>
        <v>9.71161966399667</v>
      </c>
      <c r="R121" s="10" t="n">
        <f aca="false">LN(M121)</f>
        <v>5.03027993754534</v>
      </c>
      <c r="S121" s="3" t="n">
        <v>0</v>
      </c>
      <c r="T121" s="3" t="s">
        <v>47</v>
      </c>
      <c r="U121" s="15" t="n">
        <v>0.088085910961</v>
      </c>
      <c r="V121" s="15" t="n">
        <v>0.093008047633</v>
      </c>
      <c r="W121" s="15" t="n">
        <v>0.085352240085</v>
      </c>
      <c r="X121" s="15" t="n">
        <v>0.089507097238</v>
      </c>
      <c r="Y121" s="15" t="n">
        <v>1.057056396146</v>
      </c>
    </row>
    <row r="122" customFormat="false" ht="15" hidden="false" customHeight="true" outlineLevel="0" collapsed="false">
      <c r="A122" s="3" t="s">
        <v>16</v>
      </c>
      <c r="B122" s="9" t="n">
        <v>45658</v>
      </c>
      <c r="C122" s="3" t="n">
        <v>2025</v>
      </c>
      <c r="D122" s="3" t="n">
        <v>1</v>
      </c>
      <c r="E122" s="3" t="n">
        <v>31</v>
      </c>
      <c r="F122" s="10" t="n">
        <f aca="false">Annual_Data!$C$11*U122</f>
        <v>4.641325453875</v>
      </c>
      <c r="G122" s="11" t="n">
        <f aca="false">Annual_Data!$D$11*V122</f>
        <v>0.179393633364</v>
      </c>
      <c r="H122" s="12" t="n">
        <f aca="false">Annual_Data!$E$10+(Annual_Data!$E$11-Annual_Data!$E$10)*D122/12</f>
        <v>41.1666666666667</v>
      </c>
      <c r="I122" s="13" t="n">
        <f aca="false">Annual_Data!$F$11*Y122</f>
        <v>3521.52573771941</v>
      </c>
      <c r="J122" s="13" t="n">
        <f aca="false">Annual_Data!$H$11*W122</f>
        <v>16324.2452154483</v>
      </c>
      <c r="K122" s="13" t="n">
        <f aca="false">Annual_Data!$I$11*X122</f>
        <v>16490.1646736941</v>
      </c>
      <c r="L122" s="12" t="n">
        <f aca="false">K122*0.0036</f>
        <v>59.3645928252987</v>
      </c>
      <c r="M122" s="14" t="n">
        <f aca="false">K122/(I122*E122/1000)</f>
        <v>151.05407017985</v>
      </c>
      <c r="N122" s="10" t="n">
        <f aca="false">LN(F122)</f>
        <v>1.53499998360835</v>
      </c>
      <c r="O122" s="10" t="n">
        <f aca="false">LN(G122)</f>
        <v>-1.71817281848216</v>
      </c>
      <c r="P122" s="10" t="n">
        <f aca="false">LN(I122)</f>
        <v>8.16664962289634</v>
      </c>
      <c r="Q122" s="10" t="n">
        <f aca="false">LN(J122)</f>
        <v>9.70040671818746</v>
      </c>
      <c r="R122" s="10" t="n">
        <f aca="false">LN(M122)</f>
        <v>5.0176378533806</v>
      </c>
      <c r="S122" s="3" t="n">
        <v>0</v>
      </c>
      <c r="T122" s="3" t="s">
        <v>47</v>
      </c>
      <c r="U122" s="15" t="n">
        <v>0.084387735525</v>
      </c>
      <c r="V122" s="15" t="n">
        <v>0.089696816682</v>
      </c>
      <c r="W122" s="15" t="n">
        <v>0.08851091576</v>
      </c>
      <c r="X122" s="15" t="n">
        <v>0.083377143432</v>
      </c>
      <c r="Y122" s="15" t="n">
        <v>0.945883894096</v>
      </c>
    </row>
    <row r="123" customFormat="false" ht="15" hidden="false" customHeight="true" outlineLevel="0" collapsed="false">
      <c r="A123" s="3" t="s">
        <v>16</v>
      </c>
      <c r="B123" s="9" t="n">
        <v>45689</v>
      </c>
      <c r="C123" s="3" t="n">
        <v>2025</v>
      </c>
      <c r="D123" s="3" t="n">
        <v>2</v>
      </c>
      <c r="E123" s="3" t="n">
        <v>28</v>
      </c>
      <c r="F123" s="10" t="n">
        <f aca="false">Annual_Data!$C$11*U123</f>
        <v>4.171787930035</v>
      </c>
      <c r="G123" s="11" t="n">
        <f aca="false">Annual_Data!$D$11*V123</f>
        <v>0.160046766054</v>
      </c>
      <c r="H123" s="12" t="n">
        <f aca="false">Annual_Data!$E$10+(Annual_Data!$E$11-Annual_Data!$E$10)*D123/12</f>
        <v>41.3333333333333</v>
      </c>
      <c r="I123" s="13" t="n">
        <f aca="false">Annual_Data!$F$11*Y123</f>
        <v>3589.85690415522</v>
      </c>
      <c r="J123" s="13" t="n">
        <f aca="false">Annual_Data!$H$11*W123</f>
        <v>14368.9471504102</v>
      </c>
      <c r="K123" s="13" t="n">
        <f aca="false">Annual_Data!$I$11*X123</f>
        <v>15082.5271941652</v>
      </c>
      <c r="L123" s="12" t="n">
        <f aca="false">K123*0.0036</f>
        <v>54.2970978989946</v>
      </c>
      <c r="M123" s="14" t="n">
        <f aca="false">K123/(I123*E123/1000)</f>
        <v>150.051018713978</v>
      </c>
      <c r="N123" s="10" t="n">
        <f aca="false">LN(F123)</f>
        <v>1.42834470411956</v>
      </c>
      <c r="O123" s="10" t="n">
        <f aca="false">LN(G123)</f>
        <v>-1.83228921861858</v>
      </c>
      <c r="P123" s="10" t="n">
        <f aca="false">LN(I123)</f>
        <v>8.18586762112112</v>
      </c>
      <c r="Q123" s="10" t="n">
        <f aca="false">LN(J123)</f>
        <v>9.57282470919406</v>
      </c>
      <c r="R123" s="10" t="n">
        <f aca="false">LN(M123)</f>
        <v>5.0109753610268</v>
      </c>
      <c r="S123" s="3" t="n">
        <v>0</v>
      </c>
      <c r="T123" s="3" t="s">
        <v>47</v>
      </c>
      <c r="U123" s="15" t="n">
        <v>0.075850689637</v>
      </c>
      <c r="V123" s="15" t="n">
        <v>0.080023383027</v>
      </c>
      <c r="W123" s="15" t="n">
        <v>0.077909186857</v>
      </c>
      <c r="X123" s="15" t="n">
        <v>0.076259883274</v>
      </c>
      <c r="Y123" s="15" t="n">
        <v>0.964237685779</v>
      </c>
    </row>
    <row r="124" customFormat="false" ht="15" hidden="false" customHeight="true" outlineLevel="0" collapsed="false">
      <c r="A124" s="3" t="s">
        <v>16</v>
      </c>
      <c r="B124" s="9" t="n">
        <v>45717</v>
      </c>
      <c r="C124" s="3" t="n">
        <v>2025</v>
      </c>
      <c r="D124" s="3" t="n">
        <v>3</v>
      </c>
      <c r="E124" s="3" t="n">
        <v>31</v>
      </c>
      <c r="F124" s="10" t="n">
        <f aca="false">Annual_Data!$C$11*U124</f>
        <v>4.639093941625</v>
      </c>
      <c r="G124" s="11" t="n">
        <f aca="false">Annual_Data!$D$11*V124</f>
        <v>0.172284015844</v>
      </c>
      <c r="H124" s="12" t="n">
        <f aca="false">Annual_Data!$E$10+(Annual_Data!$E$11-Annual_Data!$E$10)*D124/12</f>
        <v>41.5</v>
      </c>
      <c r="I124" s="13" t="n">
        <f aca="false">Annual_Data!$F$11*Y124</f>
        <v>3658.32618221942</v>
      </c>
      <c r="J124" s="13" t="n">
        <f aca="false">Annual_Data!$H$11*W124</f>
        <v>15912.530741222</v>
      </c>
      <c r="K124" s="13" t="n">
        <f aca="false">Annual_Data!$I$11*X124</f>
        <v>16564.9211098767</v>
      </c>
      <c r="L124" s="12" t="n">
        <f aca="false">K124*0.0036</f>
        <v>59.633715995556</v>
      </c>
      <c r="M124" s="14" t="n">
        <f aca="false">K124/(I124*E124/1000)</f>
        <v>146.064693865764</v>
      </c>
      <c r="N124" s="10" t="n">
        <f aca="false">LN(F124)</f>
        <v>1.53451907596875</v>
      </c>
      <c r="O124" s="10" t="n">
        <f aca="false">LN(G124)</f>
        <v>-1.75861090908415</v>
      </c>
      <c r="P124" s="10" t="n">
        <f aca="false">LN(I124)</f>
        <v>8.20476099452695</v>
      </c>
      <c r="Q124" s="10" t="n">
        <f aca="false">LN(J124)</f>
        <v>9.6748621747552</v>
      </c>
      <c r="R124" s="10" t="n">
        <f aca="false">LN(M124)</f>
        <v>4.9840496322343</v>
      </c>
      <c r="S124" s="3" t="n">
        <v>0</v>
      </c>
      <c r="T124" s="3" t="s">
        <v>47</v>
      </c>
      <c r="U124" s="15" t="n">
        <v>0.084347162575</v>
      </c>
      <c r="V124" s="15" t="n">
        <v>0.086142007922</v>
      </c>
      <c r="W124" s="15" t="n">
        <v>0.086278578236</v>
      </c>
      <c r="X124" s="15" t="n">
        <v>0.083755124988</v>
      </c>
      <c r="Y124" s="15" t="n">
        <v>0.982628574327</v>
      </c>
    </row>
    <row r="125" customFormat="false" ht="15" hidden="false" customHeight="true" outlineLevel="0" collapsed="false">
      <c r="A125" s="3" t="s">
        <v>16</v>
      </c>
      <c r="B125" s="9" t="n">
        <v>45748</v>
      </c>
      <c r="C125" s="3" t="n">
        <v>2025</v>
      </c>
      <c r="D125" s="3" t="n">
        <v>4</v>
      </c>
      <c r="E125" s="3" t="n">
        <v>30</v>
      </c>
      <c r="F125" s="10" t="n">
        <f aca="false">Annual_Data!$C$11*U125</f>
        <v>4.444283602275</v>
      </c>
      <c r="G125" s="11" t="n">
        <f aca="false">Annual_Data!$D$11*V125</f>
        <v>0.157353171236</v>
      </c>
      <c r="H125" s="12" t="n">
        <f aca="false">Annual_Data!$E$10+(Annual_Data!$E$11-Annual_Data!$E$10)*D125/12</f>
        <v>41.6666666666667</v>
      </c>
      <c r="I125" s="13" t="n">
        <f aca="false">Annual_Data!$F$11*Y125</f>
        <v>3715.70091651967</v>
      </c>
      <c r="J125" s="13" t="n">
        <f aca="false">Annual_Data!$H$11*W125</f>
        <v>15573.8903487612</v>
      </c>
      <c r="K125" s="13" t="n">
        <f aca="false">Annual_Data!$I$11*X125</f>
        <v>15899.5881655724</v>
      </c>
      <c r="L125" s="12" t="n">
        <f aca="false">K125*0.0036</f>
        <v>57.2385173960606</v>
      </c>
      <c r="M125" s="14" t="n">
        <f aca="false">K125/(I125*E125/1000)</f>
        <v>142.634265806883</v>
      </c>
      <c r="N125" s="10" t="n">
        <f aca="false">LN(F125)</f>
        <v>1.49161868663474</v>
      </c>
      <c r="O125" s="10" t="n">
        <f aca="false">LN(G125)</f>
        <v>-1.84926250164875</v>
      </c>
      <c r="P125" s="10" t="n">
        <f aca="false">LN(I125)</f>
        <v>8.22032261136621</v>
      </c>
      <c r="Q125" s="10" t="n">
        <f aca="false">LN(J125)</f>
        <v>9.65335109545215</v>
      </c>
      <c r="R125" s="10" t="n">
        <f aca="false">LN(M125)</f>
        <v>4.96028377229031</v>
      </c>
      <c r="S125" s="3" t="n">
        <v>0</v>
      </c>
      <c r="T125" s="3" t="s">
        <v>47</v>
      </c>
      <c r="U125" s="15" t="n">
        <v>0.080805156405</v>
      </c>
      <c r="V125" s="15" t="n">
        <v>0.078676585618</v>
      </c>
      <c r="W125" s="15" t="n">
        <v>0.084442452225</v>
      </c>
      <c r="X125" s="15" t="n">
        <v>0.080391085791</v>
      </c>
      <c r="Y125" s="15" t="n">
        <v>0.998039461864</v>
      </c>
    </row>
    <row r="126" customFormat="false" ht="15" hidden="false" customHeight="true" outlineLevel="0" collapsed="false">
      <c r="A126" s="3" t="s">
        <v>16</v>
      </c>
      <c r="B126" s="9" t="n">
        <v>45778</v>
      </c>
      <c r="C126" s="3" t="n">
        <v>2025</v>
      </c>
      <c r="D126" s="3" t="n">
        <v>5</v>
      </c>
      <c r="E126" s="3" t="n">
        <v>31</v>
      </c>
      <c r="F126" s="10" t="n">
        <f aca="false">Annual_Data!$C$11*U126</f>
        <v>4.531959741045</v>
      </c>
      <c r="G126" s="11" t="n">
        <f aca="false">Annual_Data!$D$11*V126</f>
        <v>0.16718705018</v>
      </c>
      <c r="H126" s="12" t="n">
        <f aca="false">Annual_Data!$E$10+(Annual_Data!$E$11-Annual_Data!$E$10)*D126/12</f>
        <v>41.8333333333333</v>
      </c>
      <c r="I126" s="13" t="n">
        <f aca="false">Annual_Data!$F$11*Y126</f>
        <v>3694.66847110835</v>
      </c>
      <c r="J126" s="13" t="n">
        <f aca="false">Annual_Data!$H$11*W126</f>
        <v>14989.3849569772</v>
      </c>
      <c r="K126" s="13" t="n">
        <f aca="false">Annual_Data!$I$11*X126</f>
        <v>16295.478388439</v>
      </c>
      <c r="L126" s="12" t="n">
        <f aca="false">K126*0.0036</f>
        <v>58.6637221983805</v>
      </c>
      <c r="M126" s="14" t="n">
        <f aca="false">K126/(I126*E126/1000)</f>
        <v>142.275442921611</v>
      </c>
      <c r="N126" s="10" t="n">
        <f aca="false">LN(F126)</f>
        <v>1.51115445986174</v>
      </c>
      <c r="O126" s="10" t="n">
        <f aca="false">LN(G126)</f>
        <v>-1.78864203240758</v>
      </c>
      <c r="P126" s="10" t="n">
        <f aca="false">LN(I126)</f>
        <v>8.21464610570557</v>
      </c>
      <c r="Q126" s="10" t="n">
        <f aca="false">LN(J126)</f>
        <v>9.61509756003321</v>
      </c>
      <c r="R126" s="10" t="n">
        <f aca="false">LN(M126)</f>
        <v>4.95776491762165</v>
      </c>
      <c r="S126" s="3" t="n">
        <v>0</v>
      </c>
      <c r="T126" s="3" t="s">
        <v>47</v>
      </c>
      <c r="U126" s="15" t="n">
        <v>0.082399268019</v>
      </c>
      <c r="V126" s="15" t="n">
        <v>0.08359352509</v>
      </c>
      <c r="W126" s="15" t="n">
        <v>0.081273233262</v>
      </c>
      <c r="X126" s="15" t="n">
        <v>0.08239277568</v>
      </c>
      <c r="Y126" s="15" t="n">
        <v>0.992390134598</v>
      </c>
    </row>
    <row r="127" customFormat="false" ht="15" hidden="false" customHeight="true" outlineLevel="0" collapsed="false">
      <c r="A127" s="3" t="s">
        <v>16</v>
      </c>
      <c r="B127" s="9" t="n">
        <v>45809</v>
      </c>
      <c r="C127" s="3" t="n">
        <v>2025</v>
      </c>
      <c r="D127" s="3" t="n">
        <v>6</v>
      </c>
      <c r="E127" s="3" t="n">
        <v>30</v>
      </c>
      <c r="F127" s="10" t="n">
        <f aca="false">Annual_Data!$C$11*U127</f>
        <v>4.485669623545</v>
      </c>
      <c r="G127" s="11" t="n">
        <f aca="false">Annual_Data!$D$11*V127</f>
        <v>0.168782003988</v>
      </c>
      <c r="H127" s="12" t="n">
        <f aca="false">Annual_Data!$E$10+(Annual_Data!$E$11-Annual_Data!$E$10)*D127/12</f>
        <v>42</v>
      </c>
      <c r="I127" s="13" t="n">
        <f aca="false">Annual_Data!$F$11*Y127</f>
        <v>3748.91316409665</v>
      </c>
      <c r="J127" s="13" t="n">
        <f aca="false">Annual_Data!$H$11*W127</f>
        <v>15037.3419056671</v>
      </c>
      <c r="K127" s="13" t="n">
        <f aca="false">Annual_Data!$I$11*X127</f>
        <v>16153.0597055405</v>
      </c>
      <c r="L127" s="12" t="n">
        <f aca="false">K127*0.0036</f>
        <v>58.1510149399456</v>
      </c>
      <c r="M127" s="14" t="n">
        <f aca="false">K127/(I127*E127/1000)</f>
        <v>143.624378573132</v>
      </c>
      <c r="N127" s="10" t="n">
        <f aca="false">LN(F127)</f>
        <v>1.50088778727477</v>
      </c>
      <c r="O127" s="10" t="n">
        <f aca="false">LN(G127)</f>
        <v>-1.77914731394918</v>
      </c>
      <c r="P127" s="10" t="n">
        <f aca="false">LN(I127)</f>
        <v>8.22922125405012</v>
      </c>
      <c r="Q127" s="10" t="n">
        <f aca="false">LN(J127)</f>
        <v>9.61829184688882</v>
      </c>
      <c r="R127" s="10" t="n">
        <f aca="false">LN(M127)</f>
        <v>4.96720140942767</v>
      </c>
      <c r="S127" s="3" t="n">
        <v>0</v>
      </c>
      <c r="T127" s="3" t="s">
        <v>47</v>
      </c>
      <c r="U127" s="15" t="n">
        <v>0.081557629519</v>
      </c>
      <c r="V127" s="15" t="n">
        <v>0.084391001994</v>
      </c>
      <c r="W127" s="15" t="n">
        <v>0.081533258359</v>
      </c>
      <c r="X127" s="15" t="n">
        <v>0.081672682025</v>
      </c>
      <c r="Y127" s="15" t="n">
        <v>1.006960291189</v>
      </c>
    </row>
    <row r="128" customFormat="false" ht="15" hidden="false" customHeight="true" outlineLevel="0" collapsed="false">
      <c r="A128" s="3" t="s">
        <v>16</v>
      </c>
      <c r="B128" s="9" t="n">
        <v>45839</v>
      </c>
      <c r="C128" s="3" t="n">
        <v>2025</v>
      </c>
      <c r="D128" s="3" t="n">
        <v>7</v>
      </c>
      <c r="E128" s="3" t="n">
        <v>31</v>
      </c>
      <c r="F128" s="10" t="n">
        <f aca="false">Annual_Data!$C$11*U128</f>
        <v>4.72000042811</v>
      </c>
      <c r="G128" s="11" t="n">
        <f aca="false">Annual_Data!$D$11*V128</f>
        <v>0.17663473959</v>
      </c>
      <c r="H128" s="12" t="n">
        <f aca="false">Annual_Data!$E$10+(Annual_Data!$E$11-Annual_Data!$E$10)*D128/12</f>
        <v>42.1666666666667</v>
      </c>
      <c r="I128" s="13" t="n">
        <f aca="false">Annual_Data!$F$11*Y128</f>
        <v>3775.27772618756</v>
      </c>
      <c r="J128" s="13" t="n">
        <f aca="false">Annual_Data!$H$11*W128</f>
        <v>15421.0424680074</v>
      </c>
      <c r="K128" s="13" t="n">
        <f aca="false">Annual_Data!$I$11*X128</f>
        <v>17201.4653510452</v>
      </c>
      <c r="L128" s="12" t="n">
        <f aca="false">K128*0.0036</f>
        <v>61.9252752637628</v>
      </c>
      <c r="M128" s="14" t="n">
        <f aca="false">K128/(I128*E128/1000)</f>
        <v>146.978850116631</v>
      </c>
      <c r="N128" s="10" t="n">
        <f aca="false">LN(F128)</f>
        <v>1.55180889029873</v>
      </c>
      <c r="O128" s="10" t="n">
        <f aca="false">LN(G128)</f>
        <v>-1.73367129673767</v>
      </c>
      <c r="P128" s="10" t="n">
        <f aca="false">LN(I128)</f>
        <v>8.23622922882801</v>
      </c>
      <c r="Q128" s="10" t="n">
        <f aca="false">LN(J128)</f>
        <v>9.64348824976135</v>
      </c>
      <c r="R128" s="10" t="n">
        <f aca="false">LN(M128)</f>
        <v>4.99028869966987</v>
      </c>
      <c r="S128" s="3" t="n">
        <v>1</v>
      </c>
      <c r="T128" s="3" t="s">
        <v>47</v>
      </c>
      <c r="U128" s="15" t="n">
        <v>0.085818189602</v>
      </c>
      <c r="V128" s="15" t="n">
        <v>0.088317369795</v>
      </c>
      <c r="W128" s="15" t="n">
        <v>0.08361370298</v>
      </c>
      <c r="X128" s="15" t="n">
        <v>0.08697360349</v>
      </c>
      <c r="Y128" s="15" t="n">
        <v>1.014041828146</v>
      </c>
    </row>
    <row r="129" customFormat="false" ht="15" hidden="false" customHeight="true" outlineLevel="0" collapsed="false">
      <c r="A129" s="3" t="s">
        <v>16</v>
      </c>
      <c r="B129" s="9" t="n">
        <v>45870</v>
      </c>
      <c r="C129" s="3" t="n">
        <v>2025</v>
      </c>
      <c r="D129" s="3" t="n">
        <v>8</v>
      </c>
      <c r="E129" s="3" t="n">
        <v>31</v>
      </c>
      <c r="F129" s="10" t="n">
        <f aca="false">Annual_Data!$C$11*U129</f>
        <v>4.827102327025</v>
      </c>
      <c r="G129" s="11" t="n">
        <f aca="false">Annual_Data!$D$11*V129</f>
        <v>0.17261652222</v>
      </c>
      <c r="H129" s="12" t="n">
        <f aca="false">Annual_Data!$E$10+(Annual_Data!$E$11-Annual_Data!$E$10)*D129/12</f>
        <v>42.3333333333333</v>
      </c>
      <c r="I129" s="13" t="n">
        <f aca="false">Annual_Data!$F$11*Y129</f>
        <v>3813.99266566826</v>
      </c>
      <c r="J129" s="13" t="n">
        <f aca="false">Annual_Data!$H$11*W129</f>
        <v>15905.8187624067</v>
      </c>
      <c r="K129" s="13" t="n">
        <f aca="false">Annual_Data!$I$11*X129</f>
        <v>17449.6265566577</v>
      </c>
      <c r="L129" s="12" t="n">
        <f aca="false">K129*0.0036</f>
        <v>62.8186556039678</v>
      </c>
      <c r="M129" s="14" t="n">
        <f aca="false">K129/(I129*E129/1000)</f>
        <v>147.585805372386</v>
      </c>
      <c r="N129" s="10" t="n">
        <f aca="false">LN(F129)</f>
        <v>1.57424635534013</v>
      </c>
      <c r="O129" s="10" t="n">
        <f aca="false">LN(G129)</f>
        <v>-1.75668277942173</v>
      </c>
      <c r="P129" s="10" t="n">
        <f aca="false">LN(I129)</f>
        <v>8.24643186315596</v>
      </c>
      <c r="Q129" s="10" t="n">
        <f aca="false">LN(J129)</f>
        <v>9.67444028116112</v>
      </c>
      <c r="R129" s="10" t="n">
        <f aca="false">LN(M129)</f>
        <v>4.994409737978</v>
      </c>
      <c r="S129" s="3" t="n">
        <v>1</v>
      </c>
      <c r="T129" s="3" t="s">
        <v>47</v>
      </c>
      <c r="U129" s="15" t="n">
        <v>0.087765496855</v>
      </c>
      <c r="V129" s="15" t="n">
        <v>0.08630826111</v>
      </c>
      <c r="W129" s="15" t="n">
        <v>0.086242185534</v>
      </c>
      <c r="X129" s="15" t="n">
        <v>0.088228349749</v>
      </c>
      <c r="Y129" s="15" t="n">
        <v>1.024440683768</v>
      </c>
    </row>
    <row r="130" customFormat="false" ht="15" hidden="false" customHeight="true" outlineLevel="0" collapsed="false">
      <c r="A130" s="3" t="s">
        <v>16</v>
      </c>
      <c r="B130" s="9" t="n">
        <v>45901</v>
      </c>
      <c r="C130" s="3" t="n">
        <v>2025</v>
      </c>
      <c r="D130" s="3" t="n">
        <v>9</v>
      </c>
      <c r="E130" s="3" t="n">
        <v>30</v>
      </c>
      <c r="F130" s="10" t="n">
        <f aca="false">Annual_Data!$C$11*U130</f>
        <v>4.561559553375</v>
      </c>
      <c r="G130" s="11" t="n">
        <f aca="false">Annual_Data!$D$11*V130</f>
        <v>0.165163134382</v>
      </c>
      <c r="H130" s="12" t="n">
        <f aca="false">Annual_Data!$E$10+(Annual_Data!$E$11-Annual_Data!$E$10)*D130/12</f>
        <v>42.5</v>
      </c>
      <c r="I130" s="13" t="n">
        <f aca="false">Annual_Data!$F$11*Y130</f>
        <v>3764.13617454117</v>
      </c>
      <c r="J130" s="13" t="n">
        <f aca="false">Annual_Data!$H$11*W130</f>
        <v>14866.7272801765</v>
      </c>
      <c r="K130" s="13" t="n">
        <f aca="false">Annual_Data!$I$11*X130</f>
        <v>16078.4226661565</v>
      </c>
      <c r="L130" s="12" t="n">
        <f aca="false">K130*0.0036</f>
        <v>57.8823215981633</v>
      </c>
      <c r="M130" s="14" t="n">
        <f aca="false">K130/(I130*E130/1000)</f>
        <v>142.382580585184</v>
      </c>
      <c r="N130" s="10" t="n">
        <f aca="false">LN(F130)</f>
        <v>1.5176645723742</v>
      </c>
      <c r="O130" s="10" t="n">
        <f aca="false">LN(G130)</f>
        <v>-1.80082160029254</v>
      </c>
      <c r="P130" s="10" t="n">
        <f aca="false">LN(I130)</f>
        <v>8.23327367819676</v>
      </c>
      <c r="Q130" s="10" t="n">
        <f aca="false">LN(J130)</f>
        <v>9.60688092647365</v>
      </c>
      <c r="R130" s="10" t="n">
        <f aca="false">LN(M130)</f>
        <v>4.95851766414404</v>
      </c>
      <c r="S130" s="3" t="n">
        <v>1</v>
      </c>
      <c r="T130" s="3" t="s">
        <v>47</v>
      </c>
      <c r="U130" s="15" t="n">
        <v>0.082937446425</v>
      </c>
      <c r="V130" s="15" t="n">
        <v>0.082581567191</v>
      </c>
      <c r="W130" s="15" t="n">
        <v>0.08060817689</v>
      </c>
      <c r="X130" s="15" t="n">
        <v>0.08129530416</v>
      </c>
      <c r="Y130" s="15" t="n">
        <v>1.01104920079</v>
      </c>
    </row>
    <row r="131" customFormat="false" ht="15" hidden="false" customHeight="true" outlineLevel="0" collapsed="false">
      <c r="A131" s="3" t="s">
        <v>16</v>
      </c>
      <c r="B131" s="9" t="n">
        <v>45931</v>
      </c>
      <c r="C131" s="3" t="n">
        <v>2025</v>
      </c>
      <c r="D131" s="3" t="n">
        <v>10</v>
      </c>
      <c r="E131" s="3" t="n">
        <v>31</v>
      </c>
      <c r="F131" s="10" t="n">
        <f aca="false">Annual_Data!$C$11*U131</f>
        <v>4.559257592945</v>
      </c>
      <c r="G131" s="11" t="n">
        <f aca="false">Annual_Data!$D$11*V131</f>
        <v>0.158337909902</v>
      </c>
      <c r="H131" s="12" t="n">
        <f aca="false">Annual_Data!$E$10+(Annual_Data!$E$11-Annual_Data!$E$10)*D131/12</f>
        <v>42.6666666666667</v>
      </c>
      <c r="I131" s="13" t="n">
        <f aca="false">Annual_Data!$F$11*Y131</f>
        <v>3783.0483904249</v>
      </c>
      <c r="J131" s="13" t="n">
        <f aca="false">Annual_Data!$H$11*W131</f>
        <v>15554.7701448128</v>
      </c>
      <c r="K131" s="13" t="n">
        <f aca="false">Annual_Data!$I$11*X131</f>
        <v>16369.154839657</v>
      </c>
      <c r="L131" s="12" t="n">
        <f aca="false">K131*0.0036</f>
        <v>58.9289574227653</v>
      </c>
      <c r="M131" s="14" t="n">
        <f aca="false">K131/(I131*E131/1000)</f>
        <v>139.579830442733</v>
      </c>
      <c r="N131" s="10" t="n">
        <f aca="false">LN(F131)</f>
        <v>1.51715980170685</v>
      </c>
      <c r="O131" s="10" t="n">
        <f aca="false">LN(G131)</f>
        <v>-1.84302385938913</v>
      </c>
      <c r="P131" s="10" t="n">
        <f aca="false">LN(I131)</f>
        <v>8.2382854160989</v>
      </c>
      <c r="Q131" s="10" t="n">
        <f aca="false">LN(J131)</f>
        <v>9.65212263228992</v>
      </c>
      <c r="R131" s="10" t="n">
        <f aca="false">LN(M131)</f>
        <v>4.93863669882063</v>
      </c>
      <c r="S131" s="3" t="n">
        <v>1</v>
      </c>
      <c r="T131" s="3" t="s">
        <v>47</v>
      </c>
      <c r="U131" s="15" t="n">
        <v>0.082895592599</v>
      </c>
      <c r="V131" s="15" t="n">
        <v>0.079168954951</v>
      </c>
      <c r="W131" s="15" t="n">
        <v>0.084338781474</v>
      </c>
      <c r="X131" s="15" t="n">
        <v>0.082765296644</v>
      </c>
      <c r="Y131" s="15" t="n">
        <v>1.016129033152</v>
      </c>
    </row>
    <row r="132" customFormat="false" ht="15" hidden="false" customHeight="true" outlineLevel="0" collapsed="false">
      <c r="A132" s="3" t="s">
        <v>16</v>
      </c>
      <c r="B132" s="9" t="n">
        <v>45962</v>
      </c>
      <c r="C132" s="3" t="n">
        <v>2025</v>
      </c>
      <c r="D132" s="3" t="n">
        <v>11</v>
      </c>
      <c r="E132" s="3" t="n">
        <v>30</v>
      </c>
      <c r="F132" s="10" t="n">
        <f aca="false">Annual_Data!$C$11*U132</f>
        <v>4.57263260993</v>
      </c>
      <c r="G132" s="11" t="n">
        <f aca="false">Annual_Data!$D$11*V132</f>
        <v>0.15682941041</v>
      </c>
      <c r="H132" s="12" t="n">
        <f aca="false">Annual_Data!$E$10+(Annual_Data!$E$11-Annual_Data!$E$10)*D132/12</f>
        <v>42.8333333333333</v>
      </c>
      <c r="I132" s="13" t="n">
        <f aca="false">Annual_Data!$F$11*Y132</f>
        <v>3788.07440866026</v>
      </c>
      <c r="J132" s="13" t="n">
        <f aca="false">Annual_Data!$H$11*W132</f>
        <v>14889.2914009352</v>
      </c>
      <c r="K132" s="13" t="n">
        <f aca="false">Annual_Data!$I$11*X132</f>
        <v>16713.8150083019</v>
      </c>
      <c r="L132" s="12" t="n">
        <f aca="false">K132*0.0036</f>
        <v>60.1697340298868</v>
      </c>
      <c r="M132" s="14" t="n">
        <f aca="false">K132/(I132*E132/1000)</f>
        <v>147.07397660133</v>
      </c>
      <c r="N132" s="10" t="n">
        <f aca="false">LN(F132)</f>
        <v>1.52008910248728</v>
      </c>
      <c r="O132" s="10" t="n">
        <f aca="false">LN(G132)</f>
        <v>-1.8525966222639</v>
      </c>
      <c r="P132" s="10" t="n">
        <f aca="false">LN(I132)</f>
        <v>8.23961309737077</v>
      </c>
      <c r="Q132" s="10" t="n">
        <f aca="false">LN(J132)</f>
        <v>9.60839753562258</v>
      </c>
      <c r="R132" s="10" t="n">
        <f aca="false">LN(M132)</f>
        <v>4.99093570238077</v>
      </c>
      <c r="S132" s="3" t="n">
        <v>1</v>
      </c>
      <c r="T132" s="3" t="s">
        <v>47</v>
      </c>
      <c r="U132" s="15" t="n">
        <v>0.083138774726</v>
      </c>
      <c r="V132" s="15" t="n">
        <v>0.078414705205</v>
      </c>
      <c r="W132" s="15" t="n">
        <v>0.080730520739</v>
      </c>
      <c r="X132" s="15" t="n">
        <v>0.08450795846</v>
      </c>
      <c r="Y132" s="15" t="n">
        <v>1.01747902462</v>
      </c>
    </row>
    <row r="133" customFormat="false" ht="15" hidden="false" customHeight="true" outlineLevel="0" collapsed="false">
      <c r="A133" s="3" t="s">
        <v>16</v>
      </c>
      <c r="B133" s="9" t="n">
        <v>45992</v>
      </c>
      <c r="C133" s="3" t="n">
        <v>2025</v>
      </c>
      <c r="D133" s="3" t="n">
        <v>12</v>
      </c>
      <c r="E133" s="3" t="n">
        <v>31</v>
      </c>
      <c r="F133" s="10" t="n">
        <f aca="false">Annual_Data!$C$11*U133</f>
        <v>4.84532719627</v>
      </c>
      <c r="G133" s="11" t="n">
        <f aca="false">Annual_Data!$D$11*V133</f>
        <v>0.16537164283</v>
      </c>
      <c r="H133" s="12" t="n">
        <f aca="false">Annual_Data!$E$10+(Annual_Data!$E$11-Annual_Data!$E$10)*D133/12</f>
        <v>43</v>
      </c>
      <c r="I133" s="13" t="n">
        <f aca="false">Annual_Data!$F$11*Y133</f>
        <v>3813.62104503014</v>
      </c>
      <c r="J133" s="13" t="n">
        <f aca="false">Annual_Data!$H$11*W133</f>
        <v>15588.0096251755</v>
      </c>
      <c r="K133" s="13" t="n">
        <f aca="false">Annual_Data!$I$11*X133</f>
        <v>17479.7763410916</v>
      </c>
      <c r="L133" s="12" t="n">
        <f aca="false">K133*0.0036</f>
        <v>62.9271948279298</v>
      </c>
      <c r="M133" s="14" t="n">
        <f aca="false">K133/(I133*E133/1000)</f>
        <v>147.855213268571</v>
      </c>
      <c r="N133" s="10" t="n">
        <f aca="false">LN(F133)</f>
        <v>1.57801477583236</v>
      </c>
      <c r="O133" s="10" t="n">
        <f aca="false">LN(G133)</f>
        <v>-1.79955995710077</v>
      </c>
      <c r="P133" s="10" t="n">
        <f aca="false">LN(I133)</f>
        <v>8.2463344222911</v>
      </c>
      <c r="Q133" s="10" t="n">
        <f aca="false">LN(J133)</f>
        <v>9.65425728393182</v>
      </c>
      <c r="R133" s="10" t="n">
        <f aca="false">LN(M133)</f>
        <v>4.99623350620151</v>
      </c>
      <c r="S133" s="3" t="n">
        <v>1</v>
      </c>
      <c r="T133" s="3" t="s">
        <v>47</v>
      </c>
      <c r="U133" s="15" t="n">
        <v>0.088096858114</v>
      </c>
      <c r="V133" s="15" t="n">
        <v>0.082685821415</v>
      </c>
      <c r="W133" s="15" t="n">
        <v>0.084519007684</v>
      </c>
      <c r="X133" s="15" t="n">
        <v>0.088380792308</v>
      </c>
      <c r="Y133" s="15" t="n">
        <v>1.024340866245</v>
      </c>
    </row>
    <row r="134" customFormat="false" ht="15" hidden="false" customHeight="true" outlineLevel="0" collapsed="false">
      <c r="A134" s="16" t="s">
        <v>16</v>
      </c>
      <c r="B134" s="17" t="n">
        <v>46023</v>
      </c>
      <c r="C134" s="16" t="n">
        <v>2026</v>
      </c>
      <c r="D134" s="16" t="n">
        <v>1</v>
      </c>
      <c r="E134" s="16" t="n">
        <v>31</v>
      </c>
      <c r="F134" s="18" t="n">
        <f aca="false">Assumptions_2026!$G$8*U134</f>
        <v>4.77718762029574</v>
      </c>
      <c r="G134" s="19" t="n">
        <f aca="false">Assumptions_2026!$G$9*V134</f>
        <v>0.16791004474</v>
      </c>
      <c r="H134" s="20" t="n">
        <f aca="false">Annual_Data!$E$11+(Assumptions_2026!$G$10-Annual_Data!$E$11)*D134/12</f>
        <v>43.1247245633903</v>
      </c>
      <c r="I134" s="21" t="n">
        <f aca="false">Assumptions_2026!$G$11*Y134</f>
        <v>3959.26584638835</v>
      </c>
      <c r="J134" s="21" t="n">
        <f aca="false">Assumptions_2026!$G$12*W134</f>
        <v>16082.7502223251</v>
      </c>
      <c r="K134" s="21" t="n">
        <f aca="false">Assumptions_2026!$G$13*X134</f>
        <v>17046.7143279575</v>
      </c>
      <c r="L134" s="20" t="n">
        <f aca="false">K134*0.0036</f>
        <v>61.3681715806471</v>
      </c>
      <c r="M134" s="22" t="n">
        <f aca="false">K134/(I134*E134/1000)</f>
        <v>138.887872629439</v>
      </c>
      <c r="N134" s="18" t="n">
        <f aca="false">LN(F134)</f>
        <v>1.5638520093945</v>
      </c>
      <c r="O134" s="18" t="n">
        <f aca="false">LN(G134)</f>
        <v>-1.78432689095853</v>
      </c>
      <c r="P134" s="18" t="n">
        <f aca="false">LN(I134)</f>
        <v>8.28381389473507</v>
      </c>
      <c r="Q134" s="18" t="n">
        <f aca="false">LN(J134)</f>
        <v>9.68550256183504</v>
      </c>
      <c r="R134" s="18" t="n">
        <f aca="false">LN(M134)</f>
        <v>4.93366693586532</v>
      </c>
      <c r="S134" s="16" t="n">
        <v>1</v>
      </c>
      <c r="T134" s="16" t="s">
        <v>48</v>
      </c>
      <c r="U134" s="23" t="n">
        <v>0.087637029849</v>
      </c>
      <c r="V134" s="23" t="n">
        <v>0.08395502237</v>
      </c>
      <c r="W134" s="23" t="n">
        <v>0.083574070865</v>
      </c>
      <c r="X134" s="23" t="n">
        <v>0.087055649124</v>
      </c>
      <c r="Y134" s="23" t="n">
        <v>0.980016648409</v>
      </c>
    </row>
    <row r="135" customFormat="false" ht="15" hidden="false" customHeight="true" outlineLevel="0" collapsed="false">
      <c r="A135" s="16" t="s">
        <v>16</v>
      </c>
      <c r="B135" s="17" t="n">
        <v>46054</v>
      </c>
      <c r="C135" s="16" t="n">
        <v>2026</v>
      </c>
      <c r="D135" s="16" t="n">
        <v>2</v>
      </c>
      <c r="E135" s="16" t="n">
        <v>28</v>
      </c>
      <c r="F135" s="18" t="n">
        <f aca="false">Assumptions_2026!$G$8*U135</f>
        <v>4.26960131601248</v>
      </c>
      <c r="G135" s="19" t="n">
        <f aca="false">Assumptions_2026!$G$9*V135</f>
        <v>0.15453229979</v>
      </c>
      <c r="H135" s="20" t="n">
        <f aca="false">Annual_Data!$E$11+(Assumptions_2026!$G$10-Annual_Data!$E$11)*D135/12</f>
        <v>43.2494491267807</v>
      </c>
      <c r="I135" s="21" t="n">
        <f aca="false">Assumptions_2026!$G$11*Y135</f>
        <v>3985.48575023874</v>
      </c>
      <c r="J135" s="21" t="n">
        <f aca="false">Assumptions_2026!$G$12*W135</f>
        <v>14670.5102618189</v>
      </c>
      <c r="K135" s="21" t="n">
        <f aca="false">Assumptions_2026!$G$13*X135</f>
        <v>15388.116198917</v>
      </c>
      <c r="L135" s="20" t="n">
        <f aca="false">K135*0.0036</f>
        <v>55.3972183161012</v>
      </c>
      <c r="M135" s="22" t="n">
        <f aca="false">K135/(I135*E135/1000)</f>
        <v>137.894252538685</v>
      </c>
      <c r="N135" s="18" t="n">
        <f aca="false">LN(F135)</f>
        <v>1.45152045426607</v>
      </c>
      <c r="O135" s="18" t="n">
        <f aca="false">LN(G135)</f>
        <v>-1.86735214436491</v>
      </c>
      <c r="P135" s="18" t="n">
        <f aca="false">LN(I135)</f>
        <v>8.29041447846044</v>
      </c>
      <c r="Q135" s="18" t="n">
        <f aca="false">LN(J135)</f>
        <v>9.59359465320553</v>
      </c>
      <c r="R135" s="18" t="n">
        <f aca="false">LN(M135)</f>
        <v>4.92648710545849</v>
      </c>
      <c r="S135" s="16" t="n">
        <v>1</v>
      </c>
      <c r="T135" s="16" t="s">
        <v>48</v>
      </c>
      <c r="U135" s="23" t="n">
        <v>0.078325409784</v>
      </c>
      <c r="V135" s="23" t="n">
        <v>0.077266149895</v>
      </c>
      <c r="W135" s="23" t="n">
        <v>0.0762353607</v>
      </c>
      <c r="X135" s="23" t="n">
        <v>0.078585375382</v>
      </c>
      <c r="Y135" s="23" t="n">
        <v>0.986506725936</v>
      </c>
    </row>
    <row r="136" customFormat="false" ht="15" hidden="false" customHeight="true" outlineLevel="0" collapsed="false">
      <c r="A136" s="16" t="s">
        <v>16</v>
      </c>
      <c r="B136" s="17" t="n">
        <v>46082</v>
      </c>
      <c r="C136" s="16" t="n">
        <v>2026</v>
      </c>
      <c r="D136" s="16" t="n">
        <v>3</v>
      </c>
      <c r="E136" s="16" t="n">
        <v>31</v>
      </c>
      <c r="F136" s="18" t="n">
        <f aca="false">Assumptions_2026!$G$8*U136</f>
        <v>4.72001690620405</v>
      </c>
      <c r="G136" s="19" t="n">
        <f aca="false">Assumptions_2026!$G$9*V136</f>
        <v>0.166353901458</v>
      </c>
      <c r="H136" s="20" t="n">
        <f aca="false">Annual_Data!$E$11+(Assumptions_2026!$G$10-Annual_Data!$E$11)*D136/12</f>
        <v>43.374173690171</v>
      </c>
      <c r="I136" s="21" t="n">
        <f aca="false">Assumptions_2026!$G$11*Y136</f>
        <v>4000.42135457924</v>
      </c>
      <c r="J136" s="21" t="n">
        <f aca="false">Assumptions_2026!$G$12*W136</f>
        <v>16230.025106315</v>
      </c>
      <c r="K136" s="21" t="n">
        <f aca="false">Assumptions_2026!$G$13*X136</f>
        <v>16920.2388869587</v>
      </c>
      <c r="L136" s="20" t="n">
        <f aca="false">K136*0.0036</f>
        <v>60.9128599930514</v>
      </c>
      <c r="M136" s="22" t="n">
        <f aca="false">K136/(I136*E136/1000)</f>
        <v>136.439167093997</v>
      </c>
      <c r="N136" s="18" t="n">
        <f aca="false">LN(F136)</f>
        <v>1.55181238141394</v>
      </c>
      <c r="O136" s="18" t="n">
        <f aca="false">LN(G136)</f>
        <v>-1.79363782348339</v>
      </c>
      <c r="P136" s="18" t="n">
        <f aca="false">LN(I136)</f>
        <v>8.29415497319911</v>
      </c>
      <c r="Q136" s="18" t="n">
        <f aca="false">LN(J136)</f>
        <v>9.69461820741533</v>
      </c>
      <c r="R136" s="18" t="n">
        <f aca="false">LN(M136)</f>
        <v>4.91587885297301</v>
      </c>
      <c r="S136" s="16" t="n">
        <v>1</v>
      </c>
      <c r="T136" s="16" t="s">
        <v>48</v>
      </c>
      <c r="U136" s="23" t="n">
        <v>0.086588238808</v>
      </c>
      <c r="V136" s="23" t="n">
        <v>0.083176950729</v>
      </c>
      <c r="W136" s="23" t="n">
        <v>0.084339385343</v>
      </c>
      <c r="X136" s="23" t="n">
        <v>0.086409753299</v>
      </c>
      <c r="Y136" s="23" t="n">
        <v>0.990203659023</v>
      </c>
    </row>
    <row r="137" customFormat="false" ht="15" hidden="false" customHeight="true" outlineLevel="0" collapsed="false">
      <c r="A137" s="16" t="s">
        <v>16</v>
      </c>
      <c r="B137" s="17" t="n">
        <v>46113</v>
      </c>
      <c r="C137" s="16" t="n">
        <v>2026</v>
      </c>
      <c r="D137" s="16" t="n">
        <v>4</v>
      </c>
      <c r="E137" s="16" t="n">
        <v>30</v>
      </c>
      <c r="F137" s="18" t="n">
        <f aca="false">Assumptions_2026!$G$8*U137</f>
        <v>4.33663646074208</v>
      </c>
      <c r="G137" s="19" t="n">
        <f aca="false">Assumptions_2026!$G$9*V137</f>
        <v>0.153759647364</v>
      </c>
      <c r="H137" s="20" t="n">
        <f aca="false">Annual_Data!$E$11+(Assumptions_2026!$G$10-Annual_Data!$E$11)*D137/12</f>
        <v>43.4988982535614</v>
      </c>
      <c r="I137" s="21" t="n">
        <f aca="false">Assumptions_2026!$G$11*Y137</f>
        <v>3927.01652081597</v>
      </c>
      <c r="J137" s="21" t="n">
        <f aca="false">Assumptions_2026!$G$12*W137</f>
        <v>15440.65627157</v>
      </c>
      <c r="K137" s="21" t="n">
        <f aca="false">Assumptions_2026!$G$13*X137</f>
        <v>15614.0183237083</v>
      </c>
      <c r="L137" s="20" t="n">
        <f aca="false">K137*0.0036</f>
        <v>56.21046596535</v>
      </c>
      <c r="M137" s="22" t="n">
        <f aca="false">K137/(I137*E137/1000)</f>
        <v>132.535036381461</v>
      </c>
      <c r="N137" s="18" t="n">
        <f aca="false">LN(F137)</f>
        <v>1.46709903859194</v>
      </c>
      <c r="O137" s="18" t="n">
        <f aca="false">LN(G137)</f>
        <v>-1.8723646271811</v>
      </c>
      <c r="P137" s="18" t="n">
        <f aca="false">LN(I137)</f>
        <v>8.27563526155056</v>
      </c>
      <c r="Q137" s="18" t="n">
        <f aca="false">LN(J137)</f>
        <v>9.64475932731083</v>
      </c>
      <c r="R137" s="18" t="n">
        <f aca="false">LN(M137)</f>
        <v>4.88684703599247</v>
      </c>
      <c r="S137" s="16" t="n">
        <v>1</v>
      </c>
      <c r="T137" s="16" t="s">
        <v>48</v>
      </c>
      <c r="U137" s="23" t="n">
        <v>0.07955516282</v>
      </c>
      <c r="V137" s="23" t="n">
        <v>0.076879823682</v>
      </c>
      <c r="W137" s="23" t="n">
        <v>0.080237427281</v>
      </c>
      <c r="X137" s="23" t="n">
        <v>0.079739032077</v>
      </c>
      <c r="Y137" s="23" t="n">
        <v>0.97203413923</v>
      </c>
    </row>
    <row r="138" customFormat="false" ht="15" hidden="false" customHeight="true" outlineLevel="0" collapsed="false">
      <c r="A138" s="16" t="s">
        <v>16</v>
      </c>
      <c r="B138" s="17" t="n">
        <v>46143</v>
      </c>
      <c r="C138" s="16" t="n">
        <v>2026</v>
      </c>
      <c r="D138" s="16" t="n">
        <v>5</v>
      </c>
      <c r="E138" s="16" t="n">
        <v>31</v>
      </c>
      <c r="F138" s="18" t="n">
        <f aca="false">Assumptions_2026!$G$8*U138</f>
        <v>4.45044629949598</v>
      </c>
      <c r="G138" s="19" t="n">
        <f aca="false">Assumptions_2026!$G$9*V138</f>
        <v>0.16260423759</v>
      </c>
      <c r="H138" s="20" t="n">
        <f aca="false">Annual_Data!$E$11+(Assumptions_2026!$G$10-Annual_Data!$E$11)*D138/12</f>
        <v>43.6236228169517</v>
      </c>
      <c r="I138" s="21" t="n">
        <f aca="false">Assumptions_2026!$G$11*Y138</f>
        <v>3964.26203870538</v>
      </c>
      <c r="J138" s="21" t="n">
        <f aca="false">Assumptions_2026!$G$12*W138</f>
        <v>15662.5802560302</v>
      </c>
      <c r="K138" s="21" t="n">
        <f aca="false">Assumptions_2026!$G$13*X138</f>
        <v>16023.7287222152</v>
      </c>
      <c r="L138" s="20" t="n">
        <f aca="false">K138*0.0036</f>
        <v>57.6854233999748</v>
      </c>
      <c r="M138" s="22" t="n">
        <f aca="false">K138/(I138*E138/1000)</f>
        <v>130.388574181885</v>
      </c>
      <c r="N138" s="18" t="n">
        <f aca="false">LN(F138)</f>
        <v>1.49300438317081</v>
      </c>
      <c r="O138" s="18" t="n">
        <f aca="false">LN(G138)</f>
        <v>-1.81643602076891</v>
      </c>
      <c r="P138" s="18" t="n">
        <f aca="false">LN(I138)</f>
        <v>8.28507499788297</v>
      </c>
      <c r="Q138" s="18" t="n">
        <f aca="false">LN(J138)</f>
        <v>9.65902972327932</v>
      </c>
      <c r="R138" s="18" t="n">
        <f aca="false">LN(M138)</f>
        <v>4.87051902434902</v>
      </c>
      <c r="S138" s="16" t="n">
        <v>1</v>
      </c>
      <c r="T138" s="16" t="s">
        <v>48</v>
      </c>
      <c r="U138" s="23" t="n">
        <v>0.081642992947</v>
      </c>
      <c r="V138" s="23" t="n">
        <v>0.081302118795</v>
      </c>
      <c r="W138" s="23" t="n">
        <v>0.081390656085</v>
      </c>
      <c r="X138" s="23" t="n">
        <v>0.081831376913</v>
      </c>
      <c r="Y138" s="23" t="n">
        <v>0.981253330117</v>
      </c>
    </row>
    <row r="139" customFormat="false" ht="15" hidden="false" customHeight="true" outlineLevel="0" collapsed="false">
      <c r="A139" s="16" t="s">
        <v>16</v>
      </c>
      <c r="B139" s="17" t="n">
        <v>46174</v>
      </c>
      <c r="C139" s="16" t="n">
        <v>2026</v>
      </c>
      <c r="D139" s="16" t="n">
        <v>6</v>
      </c>
      <c r="E139" s="16" t="n">
        <v>30</v>
      </c>
      <c r="F139" s="18" t="n">
        <f aca="false">Assumptions_2026!$G$8*U139</f>
        <v>4.38739017620771</v>
      </c>
      <c r="G139" s="19" t="n">
        <f aca="false">Assumptions_2026!$G$9*V139</f>
        <v>0.165921619122</v>
      </c>
      <c r="H139" s="20" t="n">
        <f aca="false">Annual_Data!$E$11+(Assumptions_2026!$G$10-Annual_Data!$E$11)*D139/12</f>
        <v>43.7483473803421</v>
      </c>
      <c r="I139" s="21" t="n">
        <f aca="false">Assumptions_2026!$G$11*Y139</f>
        <v>4000.80374920552</v>
      </c>
      <c r="J139" s="21" t="n">
        <f aca="false">Assumptions_2026!$G$12*W139</f>
        <v>15154.4839626671</v>
      </c>
      <c r="K139" s="21" t="n">
        <f aca="false">Assumptions_2026!$G$13*X139</f>
        <v>15659.7435028054</v>
      </c>
      <c r="L139" s="20" t="n">
        <f aca="false">K139*0.0036</f>
        <v>56.3750766100995</v>
      </c>
      <c r="M139" s="22" t="n">
        <f aca="false">K139/(I139*E139/1000)</f>
        <v>130.471645902944</v>
      </c>
      <c r="N139" s="18" t="n">
        <f aca="false">LN(F139)</f>
        <v>1.47873455741493</v>
      </c>
      <c r="O139" s="18" t="n">
        <f aca="false">LN(G139)</f>
        <v>-1.79623977609868</v>
      </c>
      <c r="P139" s="18" t="n">
        <f aca="false">LN(I139)</f>
        <v>8.29425055721821</v>
      </c>
      <c r="Q139" s="18" t="n">
        <f aca="false">LN(J139)</f>
        <v>9.62605173827984</v>
      </c>
      <c r="R139" s="18" t="n">
        <f aca="false">LN(M139)</f>
        <v>4.87115593038123</v>
      </c>
      <c r="S139" s="16" t="n">
        <v>1</v>
      </c>
      <c r="T139" s="16" t="s">
        <v>48</v>
      </c>
      <c r="U139" s="23" t="n">
        <v>0.080486234662</v>
      </c>
      <c r="V139" s="23" t="n">
        <v>0.082960809561</v>
      </c>
      <c r="W139" s="23" t="n">
        <v>0.078750331822</v>
      </c>
      <c r="X139" s="23" t="n">
        <v>0.079972545414</v>
      </c>
      <c r="Y139" s="23" t="n">
        <v>0.990298311192</v>
      </c>
    </row>
    <row r="140" customFormat="false" ht="15" hidden="false" customHeight="true" outlineLevel="0" collapsed="false">
      <c r="A140" s="16" t="s">
        <v>16</v>
      </c>
      <c r="B140" s="17" t="n">
        <v>46204</v>
      </c>
      <c r="C140" s="16" t="n">
        <v>2026</v>
      </c>
      <c r="D140" s="16" t="n">
        <v>7</v>
      </c>
      <c r="E140" s="16" t="n">
        <v>31</v>
      </c>
      <c r="F140" s="18" t="n">
        <f aca="false">Assumptions_2026!$G$8*U140</f>
        <v>4.66831030531165</v>
      </c>
      <c r="G140" s="19" t="n">
        <f aca="false">Assumptions_2026!$G$9*V140</f>
        <v>0.174536185828</v>
      </c>
      <c r="H140" s="20" t="n">
        <f aca="false">Annual_Data!$E$11+(Assumptions_2026!$G$10-Annual_Data!$E$11)*D140/12</f>
        <v>43.8730719437324</v>
      </c>
      <c r="I140" s="21" t="n">
        <f aca="false">Assumptions_2026!$G$11*Y140</f>
        <v>4023.0242254239</v>
      </c>
      <c r="J140" s="21" t="n">
        <f aca="false">Assumptions_2026!$G$12*W140</f>
        <v>16005.5457696807</v>
      </c>
      <c r="K140" s="21" t="n">
        <f aca="false">Assumptions_2026!$G$13*X140</f>
        <v>16764.5733910647</v>
      </c>
      <c r="L140" s="20" t="n">
        <f aca="false">K140*0.0036</f>
        <v>60.352464207833</v>
      </c>
      <c r="M140" s="22" t="n">
        <f aca="false">K140/(I140*E140/1000)</f>
        <v>134.424417983057</v>
      </c>
      <c r="N140" s="18" t="n">
        <f aca="false">LN(F140)</f>
        <v>1.54079718721744</v>
      </c>
      <c r="O140" s="18" t="n">
        <f aca="false">LN(G140)</f>
        <v>-1.74562319019573</v>
      </c>
      <c r="P140" s="18" t="n">
        <f aca="false">LN(I140)</f>
        <v>8.29978919366268</v>
      </c>
      <c r="Q140" s="18" t="n">
        <f aca="false">LN(J140)</f>
        <v>9.68069055177138</v>
      </c>
      <c r="R140" s="18" t="n">
        <f aca="false">LN(M140)</f>
        <v>4.90100209300853</v>
      </c>
      <c r="S140" s="16" t="n">
        <v>1</v>
      </c>
      <c r="T140" s="16" t="s">
        <v>48</v>
      </c>
      <c r="U140" s="23" t="n">
        <v>0.085639686378</v>
      </c>
      <c r="V140" s="23" t="n">
        <v>0.087268092914</v>
      </c>
      <c r="W140" s="23" t="n">
        <v>0.083172877642</v>
      </c>
      <c r="X140" s="23" t="n">
        <v>0.085614787153</v>
      </c>
      <c r="Y140" s="23" t="n">
        <v>0.995798431031</v>
      </c>
    </row>
    <row r="141" customFormat="false" ht="15" hidden="false" customHeight="true" outlineLevel="0" collapsed="false">
      <c r="A141" s="16" t="s">
        <v>16</v>
      </c>
      <c r="B141" s="17" t="n">
        <v>46235</v>
      </c>
      <c r="C141" s="16" t="n">
        <v>2026</v>
      </c>
      <c r="D141" s="16" t="n">
        <v>8</v>
      </c>
      <c r="E141" s="16" t="n">
        <v>31</v>
      </c>
      <c r="F141" s="18" t="n">
        <f aca="false">Assumptions_2026!$G$8*U141</f>
        <v>4.71697611570798</v>
      </c>
      <c r="G141" s="19" t="n">
        <f aca="false">Assumptions_2026!$G$9*V141</f>
        <v>0.179289045504</v>
      </c>
      <c r="H141" s="20" t="n">
        <f aca="false">Annual_Data!$E$11+(Assumptions_2026!$G$10-Annual_Data!$E$11)*D141/12</f>
        <v>43.9977965071228</v>
      </c>
      <c r="I141" s="21" t="n">
        <f aca="false">Assumptions_2026!$G$11*Y141</f>
        <v>4118.87361908062</v>
      </c>
      <c r="J141" s="21" t="n">
        <f aca="false">Assumptions_2026!$G$12*W141</f>
        <v>16713.4135170948</v>
      </c>
      <c r="K141" s="21" t="n">
        <f aca="false">Assumptions_2026!$G$13*X141</f>
        <v>16978.8271360588</v>
      </c>
      <c r="L141" s="20" t="n">
        <f aca="false">K141*0.0036</f>
        <v>61.1237776898115</v>
      </c>
      <c r="M141" s="22" t="n">
        <f aca="false">K141/(I141*E141/1000)</f>
        <v>132.974242915819</v>
      </c>
      <c r="N141" s="18" t="n">
        <f aca="false">LN(F141)</f>
        <v>1.55116794083965</v>
      </c>
      <c r="O141" s="18" t="n">
        <f aca="false">LN(G141)</f>
        <v>-1.71875599614378</v>
      </c>
      <c r="P141" s="18" t="n">
        <f aca="false">LN(I141)</f>
        <v>8.32333501153774</v>
      </c>
      <c r="Q141" s="18" t="n">
        <f aca="false">LN(J141)</f>
        <v>9.72396688062509</v>
      </c>
      <c r="R141" s="18" t="n">
        <f aca="false">LN(M141)</f>
        <v>4.89015544717972</v>
      </c>
      <c r="S141" s="16" t="n">
        <v>1</v>
      </c>
      <c r="T141" s="16" t="s">
        <v>48</v>
      </c>
      <c r="U141" s="23" t="n">
        <v>0.08653245581</v>
      </c>
      <c r="V141" s="23" t="n">
        <v>0.089644522752</v>
      </c>
      <c r="W141" s="23" t="n">
        <v>0.086851315003</v>
      </c>
      <c r="X141" s="23" t="n">
        <v>0.086708956885</v>
      </c>
      <c r="Y141" s="23" t="n">
        <v>1.019523536939</v>
      </c>
    </row>
    <row r="142" customFormat="false" ht="15" hidden="false" customHeight="true" outlineLevel="0" collapsed="false">
      <c r="A142" s="16" t="s">
        <v>16</v>
      </c>
      <c r="B142" s="17" t="n">
        <v>46266</v>
      </c>
      <c r="C142" s="16" t="n">
        <v>2026</v>
      </c>
      <c r="D142" s="16" t="n">
        <v>9</v>
      </c>
      <c r="E142" s="16" t="n">
        <v>30</v>
      </c>
      <c r="F142" s="18" t="n">
        <f aca="false">Assumptions_2026!$G$8*U142</f>
        <v>4.47407262826689</v>
      </c>
      <c r="G142" s="19" t="n">
        <f aca="false">Assumptions_2026!$G$9*V142</f>
        <v>0.165146486102</v>
      </c>
      <c r="H142" s="20" t="n">
        <f aca="false">Annual_Data!$E$11+(Assumptions_2026!$G$10-Annual_Data!$E$11)*D142/12</f>
        <v>44.1225210705131</v>
      </c>
      <c r="I142" s="21" t="n">
        <f aca="false">Assumptions_2026!$G$11*Y142</f>
        <v>4124.66115637275</v>
      </c>
      <c r="J142" s="21" t="n">
        <f aca="false">Assumptions_2026!$G$12*W142</f>
        <v>16905.1254868263</v>
      </c>
      <c r="K142" s="21" t="n">
        <f aca="false">Assumptions_2026!$G$13*X142</f>
        <v>16021.7337780592</v>
      </c>
      <c r="L142" s="20" t="n">
        <f aca="false">K142*0.0036</f>
        <v>57.678241601013</v>
      </c>
      <c r="M142" s="22" t="n">
        <f aca="false">K142/(I142*E142/1000)</f>
        <v>129.47919170932</v>
      </c>
      <c r="N142" s="18" t="n">
        <f aca="false">LN(F142)</f>
        <v>1.49829909634406</v>
      </c>
      <c r="O142" s="18" t="n">
        <f aca="false">LN(G142)</f>
        <v>-1.80092240438048</v>
      </c>
      <c r="P142" s="18" t="n">
        <f aca="false">LN(I142)</f>
        <v>8.32473915148515</v>
      </c>
      <c r="Q142" s="18" t="n">
        <f aca="false">LN(J142)</f>
        <v>9.73537213817426</v>
      </c>
      <c r="R142" s="18" t="n">
        <f aca="false">LN(M142)</f>
        <v>4.86352018644758</v>
      </c>
      <c r="S142" s="16" t="n">
        <v>1</v>
      </c>
      <c r="T142" s="16" t="s">
        <v>48</v>
      </c>
      <c r="U142" s="23" t="n">
        <v>0.082076415589</v>
      </c>
      <c r="V142" s="23" t="n">
        <v>0.082573243051</v>
      </c>
      <c r="W142" s="23" t="n">
        <v>0.087847546961</v>
      </c>
      <c r="X142" s="23" t="n">
        <v>0.081821188958</v>
      </c>
      <c r="Y142" s="23" t="n">
        <v>1.020956096186</v>
      </c>
    </row>
    <row r="143" customFormat="false" ht="15" hidden="false" customHeight="true" outlineLevel="0" collapsed="false">
      <c r="A143" s="16" t="s">
        <v>16</v>
      </c>
      <c r="B143" s="17" t="n">
        <v>46296</v>
      </c>
      <c r="C143" s="16" t="n">
        <v>2026</v>
      </c>
      <c r="D143" s="16" t="n">
        <v>10</v>
      </c>
      <c r="E143" s="16" t="n">
        <v>31</v>
      </c>
      <c r="F143" s="18" t="n">
        <f aca="false">Assumptions_2026!$G$8*U143</f>
        <v>4.55456123941514</v>
      </c>
      <c r="G143" s="19" t="n">
        <f aca="false">Assumptions_2026!$G$9*V143</f>
        <v>0.161417978744</v>
      </c>
      <c r="H143" s="20" t="n">
        <f aca="false">Annual_Data!$E$11+(Assumptions_2026!$G$10-Annual_Data!$E$11)*D143/12</f>
        <v>44.2472456339035</v>
      </c>
      <c r="I143" s="21" t="n">
        <f aca="false">Assumptions_2026!$G$11*Y143</f>
        <v>4173.65603176629</v>
      </c>
      <c r="J143" s="21" t="n">
        <f aca="false">Assumptions_2026!$G$12*W143</f>
        <v>16768.9398521558</v>
      </c>
      <c r="K143" s="21" t="n">
        <f aca="false">Assumptions_2026!$G$13*X143</f>
        <v>16403.5444902646</v>
      </c>
      <c r="L143" s="20" t="n">
        <f aca="false">K143*0.0036</f>
        <v>59.0527601649526</v>
      </c>
      <c r="M143" s="22" t="n">
        <f aca="false">K143/(I143*E143/1000)</f>
        <v>126.782512126716</v>
      </c>
      <c r="N143" s="18" t="n">
        <f aca="false">LN(F143)</f>
        <v>1.51612920102629</v>
      </c>
      <c r="O143" s="18" t="n">
        <f aca="false">LN(G143)</f>
        <v>-1.82375813688405</v>
      </c>
      <c r="P143" s="18" t="n">
        <f aca="false">LN(I143)</f>
        <v>8.3365476769023</v>
      </c>
      <c r="Q143" s="18" t="n">
        <f aca="false">LN(J143)</f>
        <v>9.72728363589327</v>
      </c>
      <c r="R143" s="18" t="n">
        <f aca="false">LN(M143)</f>
        <v>4.84247311550997</v>
      </c>
      <c r="S143" s="16" t="n">
        <v>1</v>
      </c>
      <c r="T143" s="16" t="s">
        <v>48</v>
      </c>
      <c r="U143" s="23" t="n">
        <v>0.083552971123</v>
      </c>
      <c r="V143" s="23" t="n">
        <v>0.080708989372</v>
      </c>
      <c r="W143" s="23" t="n">
        <v>0.087139857808</v>
      </c>
      <c r="X143" s="23" t="n">
        <v>0.08377105324</v>
      </c>
      <c r="Y143" s="23" t="n">
        <v>1.033083544919</v>
      </c>
    </row>
    <row r="144" customFormat="false" ht="15" hidden="false" customHeight="true" outlineLevel="0" collapsed="false">
      <c r="A144" s="16" t="s">
        <v>16</v>
      </c>
      <c r="B144" s="17" t="n">
        <v>46327</v>
      </c>
      <c r="C144" s="16" t="n">
        <v>2026</v>
      </c>
      <c r="D144" s="16" t="n">
        <v>11</v>
      </c>
      <c r="E144" s="16" t="n">
        <v>30</v>
      </c>
      <c r="F144" s="18" t="n">
        <f aca="false">Assumptions_2026!$G$8*U144</f>
        <v>4.50735560949372</v>
      </c>
      <c r="G144" s="19" t="n">
        <f aca="false">Assumptions_2026!$G$9*V144</f>
        <v>0.167069261904</v>
      </c>
      <c r="H144" s="20" t="n">
        <f aca="false">Annual_Data!$E$11+(Assumptions_2026!$G$10-Annual_Data!$E$11)*D144/12</f>
        <v>44.3719701972938</v>
      </c>
      <c r="I144" s="21" t="n">
        <f aca="false">Assumptions_2026!$G$11*Y144</f>
        <v>4105.59486042734</v>
      </c>
      <c r="J144" s="21" t="n">
        <f aca="false">Assumptions_2026!$G$12*W144</f>
        <v>16437.6478804917</v>
      </c>
      <c r="K144" s="21" t="n">
        <f aca="false">Assumptions_2026!$G$13*X144</f>
        <v>16165.7428039049</v>
      </c>
      <c r="L144" s="20" t="n">
        <f aca="false">K144*0.0036</f>
        <v>58.1966740940575</v>
      </c>
      <c r="M144" s="22" t="n">
        <f aca="false">K144/(I144*E144/1000)</f>
        <v>131.249699929576</v>
      </c>
      <c r="N144" s="18" t="n">
        <f aca="false">LN(F144)</f>
        <v>1.50571064219207</v>
      </c>
      <c r="O144" s="18" t="n">
        <f aca="false">LN(G144)</f>
        <v>-1.78934681060693</v>
      </c>
      <c r="P144" s="18" t="n">
        <f aca="false">LN(I144)</f>
        <v>8.32010592257606</v>
      </c>
      <c r="Q144" s="18" t="n">
        <f aca="false">LN(J144)</f>
        <v>9.70732958541147</v>
      </c>
      <c r="R144" s="18" t="n">
        <f aca="false">LN(M144)</f>
        <v>4.87710161521827</v>
      </c>
      <c r="S144" s="16" t="n">
        <v>1</v>
      </c>
      <c r="T144" s="16" t="s">
        <v>48</v>
      </c>
      <c r="U144" s="23" t="n">
        <v>0.082686988556</v>
      </c>
      <c r="V144" s="23" t="n">
        <v>0.083534630952</v>
      </c>
      <c r="W144" s="23" t="n">
        <v>0.085418297855</v>
      </c>
      <c r="X144" s="23" t="n">
        <v>0.082556626825</v>
      </c>
      <c r="Y144" s="23" t="n">
        <v>1.016236714317</v>
      </c>
    </row>
    <row r="145" customFormat="false" ht="15" hidden="false" customHeight="true" outlineLevel="0" collapsed="false">
      <c r="A145" s="16" t="s">
        <v>16</v>
      </c>
      <c r="B145" s="17" t="n">
        <v>46357</v>
      </c>
      <c r="C145" s="16" t="n">
        <v>2026</v>
      </c>
      <c r="D145" s="16" t="n">
        <v>12</v>
      </c>
      <c r="E145" s="16" t="n">
        <v>31</v>
      </c>
      <c r="F145" s="18" t="n">
        <f aca="false">Assumptions_2026!$G$8*U145</f>
        <v>4.64850792414803</v>
      </c>
      <c r="G145" s="19" t="n">
        <f aca="false">Assumptions_2026!$G$9*V145</f>
        <v>0.181459291854</v>
      </c>
      <c r="H145" s="20" t="n">
        <f aca="false">Annual_Data!$E$11+(Assumptions_2026!$G$10-Annual_Data!$E$11)*D145/12</f>
        <v>44.4966947606842</v>
      </c>
      <c r="I145" s="21" t="n">
        <f aca="false">Assumptions_2026!$G$11*Y145</f>
        <v>4091.58024078979</v>
      </c>
      <c r="J145" s="21" t="n">
        <f aca="false">Assumptions_2026!$G$12*W145</f>
        <v>16365.4021467361</v>
      </c>
      <c r="K145" s="21" t="n">
        <f aca="false">Assumptions_2026!$G$13*X145</f>
        <v>16827.0121247743</v>
      </c>
      <c r="L145" s="20" t="n">
        <f aca="false">K145*0.0036</f>
        <v>60.5772436491875</v>
      </c>
      <c r="M145" s="22" t="n">
        <f aca="false">K145/(I145*E145/1000)</f>
        <v>132.664352350543</v>
      </c>
      <c r="N145" s="18" t="n">
        <f aca="false">LN(F145)</f>
        <v>1.53654629158007</v>
      </c>
      <c r="O145" s="18" t="n">
        <f aca="false">LN(G145)</f>
        <v>-1.70672393773918</v>
      </c>
      <c r="P145" s="18" t="n">
        <f aca="false">LN(I145)</f>
        <v>8.31668654135763</v>
      </c>
      <c r="Q145" s="18" t="n">
        <f aca="false">LN(J145)</f>
        <v>9.70292476021943</v>
      </c>
      <c r="R145" s="18" t="n">
        <f aca="false">LN(M145)</f>
        <v>4.88782227187027</v>
      </c>
      <c r="S145" s="16" t="n">
        <v>1</v>
      </c>
      <c r="T145" s="16" t="s">
        <v>48</v>
      </c>
      <c r="U145" s="23" t="n">
        <v>0.085276413673</v>
      </c>
      <c r="V145" s="23" t="n">
        <v>0.090729645927</v>
      </c>
      <c r="W145" s="23" t="n">
        <v>0.085042872633</v>
      </c>
      <c r="X145" s="23" t="n">
        <v>0.08593365473</v>
      </c>
      <c r="Y145" s="23" t="n">
        <v>1.012767747822</v>
      </c>
    </row>
    <row r="146" customFormat="false" ht="15" hidden="false" customHeight="true" outlineLevel="0" collapsed="false">
      <c r="A146" s="3" t="s">
        <v>19</v>
      </c>
      <c r="B146" s="9" t="n">
        <v>44197</v>
      </c>
      <c r="C146" s="3" t="n">
        <v>2021</v>
      </c>
      <c r="D146" s="3" t="n">
        <v>1</v>
      </c>
      <c r="E146" s="3" t="n">
        <v>31</v>
      </c>
      <c r="F146" s="10" t="n">
        <f aca="false">Annual_Data!$C$12*U146</f>
        <v>1.6029684814611</v>
      </c>
      <c r="G146" s="11" t="n">
        <f aca="false">Annual_Data!$D$12*V146</f>
        <v>0.0935689890713</v>
      </c>
      <c r="H146" s="12" t="n">
        <f aca="false">(2*Annual_Data!$E$12-Annual_Data!$E$13)+(Annual_Data!$E$12-(2*Annual_Data!$E$12-Annual_Data!$E$13))*D146/12</f>
        <v>11.0416666666667</v>
      </c>
      <c r="I146" s="13" t="n">
        <f aca="false">Annual_Data!$F$12*Y146</f>
        <v>1896.7749404323</v>
      </c>
      <c r="J146" s="13" t="n">
        <f aca="false">Annual_Data!$H$12*W146</f>
        <v>3015.19002790044</v>
      </c>
      <c r="K146" s="13" t="n">
        <f aca="false">Annual_Data!$I$12*X146</f>
        <v>5597.73013949562</v>
      </c>
      <c r="L146" s="12" t="n">
        <f aca="false">K146*0.0036</f>
        <v>20.1518285021842</v>
      </c>
      <c r="M146" s="14" t="n">
        <f aca="false">K146/(I146*E146/1000)</f>
        <v>95.1994546820485</v>
      </c>
      <c r="N146" s="10" t="n">
        <f aca="false">LN(F146)</f>
        <v>0.471857211213962</v>
      </c>
      <c r="O146" s="10" t="n">
        <f aca="false">LN(G146)</f>
        <v>-2.36905626373579</v>
      </c>
      <c r="P146" s="10" t="n">
        <f aca="false">LN(I146)</f>
        <v>7.54791032316682</v>
      </c>
      <c r="Q146" s="10" t="n">
        <f aca="false">LN(J146)</f>
        <v>8.01141813467114</v>
      </c>
      <c r="R146" s="10" t="n">
        <f aca="false">LN(M146)</f>
        <v>4.55597421365117</v>
      </c>
      <c r="S146" s="3" t="n">
        <v>0</v>
      </c>
      <c r="T146" s="3" t="s">
        <v>47</v>
      </c>
      <c r="U146" s="15" t="n">
        <v>0.090563191043</v>
      </c>
      <c r="V146" s="15" t="n">
        <v>0.09084367871</v>
      </c>
      <c r="W146" s="15" t="n">
        <v>0.06579362023</v>
      </c>
      <c r="X146" s="15" t="n">
        <v>0.088020160694</v>
      </c>
      <c r="Y146" s="15" t="n">
        <v>0.997777454199</v>
      </c>
    </row>
    <row r="147" customFormat="false" ht="15" hidden="false" customHeight="true" outlineLevel="0" collapsed="false">
      <c r="A147" s="3" t="s">
        <v>19</v>
      </c>
      <c r="B147" s="9" t="n">
        <v>44228</v>
      </c>
      <c r="C147" s="3" t="n">
        <v>2021</v>
      </c>
      <c r="D147" s="3" t="n">
        <v>2</v>
      </c>
      <c r="E147" s="3" t="n">
        <v>28</v>
      </c>
      <c r="F147" s="10" t="n">
        <f aca="false">Annual_Data!$C$12*U147</f>
        <v>1.4515775255484</v>
      </c>
      <c r="G147" s="11" t="n">
        <f aca="false">Annual_Data!$D$12*V147</f>
        <v>0.07933174499023</v>
      </c>
      <c r="H147" s="12" t="n">
        <f aca="false">(2*Annual_Data!$E$12-Annual_Data!$E$13)+(Annual_Data!$E$12-(2*Annual_Data!$E$12-Annual_Data!$E$13))*D147/12</f>
        <v>10.9833333333333</v>
      </c>
      <c r="I147" s="13" t="n">
        <f aca="false">Annual_Data!$F$12*Y147</f>
        <v>1908.78662296399</v>
      </c>
      <c r="J147" s="13" t="n">
        <f aca="false">Annual_Data!$H$12*W147</f>
        <v>2803.19032453608</v>
      </c>
      <c r="K147" s="13" t="n">
        <f aca="false">Annual_Data!$I$12*X147</f>
        <v>5034.0783070213</v>
      </c>
      <c r="L147" s="12" t="n">
        <f aca="false">K147*0.0036</f>
        <v>18.1226819052767</v>
      </c>
      <c r="M147" s="14" t="n">
        <f aca="false">K147/(I147*E147/1000)</f>
        <v>94.1899470595977</v>
      </c>
      <c r="N147" s="10" t="n">
        <f aca="false">LN(F147)</f>
        <v>0.372650913699309</v>
      </c>
      <c r="O147" s="10" t="n">
        <f aca="false">LN(G147)</f>
        <v>-2.53411691531075</v>
      </c>
      <c r="P147" s="10" t="n">
        <f aca="false">LN(I147)</f>
        <v>7.55422304323233</v>
      </c>
      <c r="Q147" s="10" t="n">
        <f aca="false">LN(J147)</f>
        <v>7.93851344915795</v>
      </c>
      <c r="R147" s="10" t="n">
        <f aca="false">LN(M147)</f>
        <v>4.54531345677488</v>
      </c>
      <c r="S147" s="3" t="n">
        <v>0</v>
      </c>
      <c r="T147" s="3" t="s">
        <v>47</v>
      </c>
      <c r="U147" s="15" t="n">
        <v>0.082010029692</v>
      </c>
      <c r="V147" s="15" t="n">
        <v>0.077021111641</v>
      </c>
      <c r="W147" s="15" t="n">
        <v>0.06116763386</v>
      </c>
      <c r="X147" s="15" t="n">
        <v>0.079157153076</v>
      </c>
      <c r="Y147" s="15" t="n">
        <v>1.004096066788</v>
      </c>
    </row>
    <row r="148" customFormat="false" ht="15" hidden="false" customHeight="true" outlineLevel="0" collapsed="false">
      <c r="A148" s="3" t="s">
        <v>19</v>
      </c>
      <c r="B148" s="9" t="n">
        <v>44256</v>
      </c>
      <c r="C148" s="3" t="n">
        <v>2021</v>
      </c>
      <c r="D148" s="3" t="n">
        <v>3</v>
      </c>
      <c r="E148" s="3" t="n">
        <v>31</v>
      </c>
      <c r="F148" s="10" t="n">
        <f aca="false">Annual_Data!$C$12*U148</f>
        <v>1.5826963795527</v>
      </c>
      <c r="G148" s="11" t="n">
        <f aca="false">Annual_Data!$D$12*V148</f>
        <v>0.08493134282273</v>
      </c>
      <c r="H148" s="12" t="n">
        <f aca="false">(2*Annual_Data!$E$12-Annual_Data!$E$13)+(Annual_Data!$E$12-(2*Annual_Data!$E$12-Annual_Data!$E$13))*D148/12</f>
        <v>10.925</v>
      </c>
      <c r="I148" s="13" t="n">
        <f aca="false">Annual_Data!$F$12*Y148</f>
        <v>1923.94590403904</v>
      </c>
      <c r="J148" s="13" t="n">
        <f aca="false">Annual_Data!$H$12*W148</f>
        <v>3215.96651034158</v>
      </c>
      <c r="K148" s="13" t="n">
        <f aca="false">Annual_Data!$I$12*X148</f>
        <v>5541.90515884793</v>
      </c>
      <c r="L148" s="12" t="n">
        <f aca="false">K148*0.0036</f>
        <v>19.9508585718525</v>
      </c>
      <c r="M148" s="14" t="n">
        <f aca="false">K148/(I148*E148/1000)</f>
        <v>92.9190024423667</v>
      </c>
      <c r="N148" s="10" t="n">
        <f aca="false">LN(F148)</f>
        <v>0.459129961841184</v>
      </c>
      <c r="O148" s="10" t="n">
        <f aca="false">LN(G148)</f>
        <v>-2.46591208037997</v>
      </c>
      <c r="P148" s="10" t="n">
        <f aca="false">LN(I148)</f>
        <v>7.56213351442655</v>
      </c>
      <c r="Q148" s="10" t="n">
        <f aca="false">LN(J148)</f>
        <v>8.07588321679364</v>
      </c>
      <c r="R148" s="10" t="n">
        <f aca="false">LN(M148)</f>
        <v>4.53172817218344</v>
      </c>
      <c r="S148" s="3" t="n">
        <v>0</v>
      </c>
      <c r="T148" s="3" t="s">
        <v>47</v>
      </c>
      <c r="U148" s="15" t="n">
        <v>0.089417874551</v>
      </c>
      <c r="V148" s="15" t="n">
        <v>0.082457614391</v>
      </c>
      <c r="W148" s="15" t="n">
        <v>0.070174707828</v>
      </c>
      <c r="X148" s="15" t="n">
        <v>0.087142354218</v>
      </c>
      <c r="Y148" s="15" t="n">
        <v>1.012070438737</v>
      </c>
    </row>
    <row r="149" customFormat="false" ht="15" hidden="false" customHeight="true" outlineLevel="0" collapsed="false">
      <c r="A149" s="3" t="s">
        <v>19</v>
      </c>
      <c r="B149" s="9" t="n">
        <v>44287</v>
      </c>
      <c r="C149" s="3" t="n">
        <v>2021</v>
      </c>
      <c r="D149" s="3" t="n">
        <v>4</v>
      </c>
      <c r="E149" s="3" t="n">
        <v>30</v>
      </c>
      <c r="F149" s="10" t="n">
        <f aca="false">Annual_Data!$C$12*U149</f>
        <v>1.496139975825</v>
      </c>
      <c r="G149" s="11" t="n">
        <f aca="false">Annual_Data!$D$12*V149</f>
        <v>0.0784830242167</v>
      </c>
      <c r="H149" s="12" t="n">
        <f aca="false">(2*Annual_Data!$E$12-Annual_Data!$E$13)+(Annual_Data!$E$12-(2*Annual_Data!$E$12-Annual_Data!$E$13))*D149/12</f>
        <v>10.8666666666667</v>
      </c>
      <c r="I149" s="13" t="n">
        <f aca="false">Annual_Data!$F$12*Y149</f>
        <v>1937.02259518962</v>
      </c>
      <c r="J149" s="13" t="n">
        <f aca="false">Annual_Data!$H$12*W149</f>
        <v>3257.18158686394</v>
      </c>
      <c r="K149" s="13" t="n">
        <f aca="false">Annual_Data!$I$12*X149</f>
        <v>5287.73436520108</v>
      </c>
      <c r="L149" s="12" t="n">
        <f aca="false">K149*0.0036</f>
        <v>19.0358437147239</v>
      </c>
      <c r="M149" s="14" t="n">
        <f aca="false">K149/(I149*E149/1000)</f>
        <v>90.9941952205856</v>
      </c>
      <c r="N149" s="10" t="n">
        <f aca="false">LN(F149)</f>
        <v>0.402888441903133</v>
      </c>
      <c r="O149" s="10" t="n">
        <f aca="false">LN(G149)</f>
        <v>-2.54487292959617</v>
      </c>
      <c r="P149" s="10" t="n">
        <f aca="false">LN(I149)</f>
        <v>7.56890732838264</v>
      </c>
      <c r="Q149" s="10" t="n">
        <f aca="false">LN(J149)</f>
        <v>8.08861755652037</v>
      </c>
      <c r="R149" s="10" t="n">
        <f aca="false">LN(M149)</f>
        <v>4.51079571569749</v>
      </c>
      <c r="S149" s="3" t="n">
        <v>0</v>
      </c>
      <c r="T149" s="3" t="s">
        <v>47</v>
      </c>
      <c r="U149" s="15" t="n">
        <v>0.08452768225</v>
      </c>
      <c r="V149" s="15" t="n">
        <v>0.07619711089</v>
      </c>
      <c r="W149" s="15" t="n">
        <v>0.071074050512</v>
      </c>
      <c r="X149" s="15" t="n">
        <v>0.08314570673</v>
      </c>
      <c r="Y149" s="15" t="n">
        <v>1.018949287317</v>
      </c>
    </row>
    <row r="150" customFormat="false" ht="15" hidden="false" customHeight="true" outlineLevel="0" collapsed="false">
      <c r="A150" s="3" t="s">
        <v>19</v>
      </c>
      <c r="B150" s="9" t="n">
        <v>44317</v>
      </c>
      <c r="C150" s="3" t="n">
        <v>2021</v>
      </c>
      <c r="D150" s="3" t="n">
        <v>5</v>
      </c>
      <c r="E150" s="3" t="n">
        <v>31</v>
      </c>
      <c r="F150" s="10" t="n">
        <f aca="false">Annual_Data!$C$12*U150</f>
        <v>1.4861416837761</v>
      </c>
      <c r="G150" s="11" t="n">
        <f aca="false">Annual_Data!$D$12*V150</f>
        <v>0.08423113637827</v>
      </c>
      <c r="H150" s="12" t="n">
        <f aca="false">(2*Annual_Data!$E$12-Annual_Data!$E$13)+(Annual_Data!$E$12-(2*Annual_Data!$E$12-Annual_Data!$E$13))*D150/12</f>
        <v>10.8083333333333</v>
      </c>
      <c r="I150" s="13" t="n">
        <f aca="false">Annual_Data!$F$12*Y150</f>
        <v>1894.75704972544</v>
      </c>
      <c r="J150" s="13" t="n">
        <f aca="false">Annual_Data!$H$12*W150</f>
        <v>3346.28222949922</v>
      </c>
      <c r="K150" s="13" t="n">
        <f aca="false">Annual_Data!$I$12*X150</f>
        <v>5243.66388461895</v>
      </c>
      <c r="L150" s="12" t="n">
        <f aca="false">K150*0.0036</f>
        <v>18.8771899846282</v>
      </c>
      <c r="M150" s="14" t="n">
        <f aca="false">K150/(I150*E150/1000)</f>
        <v>89.2728953907019</v>
      </c>
      <c r="N150" s="10" t="n">
        <f aca="false">LN(F150)</f>
        <v>0.396183287494798</v>
      </c>
      <c r="O150" s="10" t="n">
        <f aca="false">LN(G150)</f>
        <v>-2.4741906353738</v>
      </c>
      <c r="P150" s="10" t="n">
        <f aca="false">LN(I150)</f>
        <v>7.5468459033478</v>
      </c>
      <c r="Q150" s="10" t="n">
        <f aca="false">LN(J150)</f>
        <v>8.11560522631578</v>
      </c>
      <c r="R150" s="10" t="n">
        <f aca="false">LN(M150)</f>
        <v>4.49169791874956</v>
      </c>
      <c r="S150" s="3" t="n">
        <v>0</v>
      </c>
      <c r="T150" s="3" t="s">
        <v>47</v>
      </c>
      <c r="U150" s="15" t="n">
        <v>0.083962806993</v>
      </c>
      <c r="V150" s="15" t="n">
        <v>0.081777802309</v>
      </c>
      <c r="W150" s="15" t="n">
        <v>0.073018290772</v>
      </c>
      <c r="X150" s="15" t="n">
        <v>0.082452731062</v>
      </c>
      <c r="Y150" s="15" t="n">
        <v>0.996715965137</v>
      </c>
    </row>
    <row r="151" customFormat="false" ht="15" hidden="false" customHeight="true" outlineLevel="0" collapsed="false">
      <c r="A151" s="3" t="s">
        <v>19</v>
      </c>
      <c r="B151" s="9" t="n">
        <v>44348</v>
      </c>
      <c r="C151" s="3" t="n">
        <v>2021</v>
      </c>
      <c r="D151" s="3" t="n">
        <v>6</v>
      </c>
      <c r="E151" s="3" t="n">
        <v>30</v>
      </c>
      <c r="F151" s="10" t="n">
        <f aca="false">Annual_Data!$C$12*U151</f>
        <v>1.4522373411039</v>
      </c>
      <c r="G151" s="11" t="n">
        <f aca="false">Annual_Data!$D$12*V151</f>
        <v>0.08796679242726</v>
      </c>
      <c r="H151" s="12" t="n">
        <f aca="false">(2*Annual_Data!$E$12-Annual_Data!$E$13)+(Annual_Data!$E$12-(2*Annual_Data!$E$12-Annual_Data!$E$13))*D151/12</f>
        <v>10.75</v>
      </c>
      <c r="I151" s="13" t="n">
        <f aca="false">Annual_Data!$F$12*Y151</f>
        <v>1892.34063100613</v>
      </c>
      <c r="J151" s="13" t="n">
        <f aca="false">Annual_Data!$H$12*W151</f>
        <v>3412.26179355038</v>
      </c>
      <c r="K151" s="13" t="n">
        <f aca="false">Annual_Data!$I$12*X151</f>
        <v>5161.98019501825</v>
      </c>
      <c r="L151" s="12" t="n">
        <f aca="false">K151*0.0036</f>
        <v>18.5831287020657</v>
      </c>
      <c r="M151" s="14" t="n">
        <f aca="false">K151/(I151*E151/1000)</f>
        <v>90.9276076839947</v>
      </c>
      <c r="N151" s="10" t="n">
        <f aca="false">LN(F151)</f>
        <v>0.373105361105328</v>
      </c>
      <c r="O151" s="10" t="n">
        <f aca="false">LN(G151)</f>
        <v>-2.43079589450281</v>
      </c>
      <c r="P151" s="10" t="n">
        <f aca="false">LN(I151)</f>
        <v>7.54556977093668</v>
      </c>
      <c r="Q151" s="10" t="n">
        <f aca="false">LN(J151)</f>
        <v>8.135130632969</v>
      </c>
      <c r="R151" s="10" t="n">
        <f aca="false">LN(M151)</f>
        <v>4.51006366996683</v>
      </c>
      <c r="S151" s="3" t="n">
        <v>0</v>
      </c>
      <c r="T151" s="3" t="s">
        <v>47</v>
      </c>
      <c r="U151" s="15" t="n">
        <v>0.082047307407</v>
      </c>
      <c r="V151" s="15" t="n">
        <v>0.085404652842</v>
      </c>
      <c r="W151" s="15" t="n">
        <v>0.074458012428</v>
      </c>
      <c r="X151" s="15" t="n">
        <v>0.081168315539</v>
      </c>
      <c r="Y151" s="15" t="n">
        <v>0.995444834827</v>
      </c>
    </row>
    <row r="152" customFormat="false" ht="15" hidden="false" customHeight="true" outlineLevel="0" collapsed="false">
      <c r="A152" s="3" t="s">
        <v>19</v>
      </c>
      <c r="B152" s="9" t="n">
        <v>44378</v>
      </c>
      <c r="C152" s="3" t="n">
        <v>2021</v>
      </c>
      <c r="D152" s="3" t="n">
        <v>7</v>
      </c>
      <c r="E152" s="3" t="n">
        <v>31</v>
      </c>
      <c r="F152" s="10" t="n">
        <f aca="false">Annual_Data!$C$12*U152</f>
        <v>1.5038711457093</v>
      </c>
      <c r="G152" s="11" t="n">
        <f aca="false">Annual_Data!$D$12*V152</f>
        <v>0.0884036945601</v>
      </c>
      <c r="H152" s="12" t="n">
        <f aca="false">(2*Annual_Data!$E$12-Annual_Data!$E$13)+(Annual_Data!$E$12-(2*Annual_Data!$E$12-Annual_Data!$E$13))*D152/12</f>
        <v>10.6916666666667</v>
      </c>
      <c r="I152" s="13" t="n">
        <f aca="false">Annual_Data!$F$12*Y152</f>
        <v>1874.63666560717</v>
      </c>
      <c r="J152" s="13" t="n">
        <f aca="false">Annual_Data!$H$12*W152</f>
        <v>3662.74744569112</v>
      </c>
      <c r="K152" s="13" t="n">
        <f aca="false">Annual_Data!$I$12*X152</f>
        <v>5372.26137046446</v>
      </c>
      <c r="L152" s="12" t="n">
        <f aca="false">K152*0.0036</f>
        <v>19.340140933672</v>
      </c>
      <c r="M152" s="14" t="n">
        <f aca="false">K152/(I152*E152/1000)</f>
        <v>92.4439157012974</v>
      </c>
      <c r="N152" s="10" t="n">
        <f aca="false">LN(F152)</f>
        <v>0.408042547461975</v>
      </c>
      <c r="O152" s="10" t="n">
        <f aca="false">LN(G152)</f>
        <v>-2.42584151654558</v>
      </c>
      <c r="P152" s="10" t="n">
        <f aca="false">LN(I152)</f>
        <v>7.53617014128422</v>
      </c>
      <c r="Q152" s="10" t="n">
        <f aca="false">LN(J152)</f>
        <v>8.20596881300656</v>
      </c>
      <c r="R152" s="10" t="n">
        <f aca="false">LN(M152)</f>
        <v>4.52660214389132</v>
      </c>
      <c r="S152" s="3" t="n">
        <v>0</v>
      </c>
      <c r="T152" s="3" t="s">
        <v>47</v>
      </c>
      <c r="U152" s="15" t="n">
        <v>0.084964471509</v>
      </c>
      <c r="V152" s="15" t="n">
        <v>0.08582882967</v>
      </c>
      <c r="W152" s="15" t="n">
        <v>0.079923789947</v>
      </c>
      <c r="X152" s="15" t="n">
        <v>0.084474831286</v>
      </c>
      <c r="Y152" s="15" t="n">
        <v>0.986131859867</v>
      </c>
    </row>
    <row r="153" customFormat="false" ht="15" hidden="false" customHeight="true" outlineLevel="0" collapsed="false">
      <c r="A153" s="3" t="s">
        <v>19</v>
      </c>
      <c r="B153" s="9" t="n">
        <v>44409</v>
      </c>
      <c r="C153" s="3" t="n">
        <v>2021</v>
      </c>
      <c r="D153" s="3" t="n">
        <v>8</v>
      </c>
      <c r="E153" s="3" t="n">
        <v>31</v>
      </c>
      <c r="F153" s="10" t="n">
        <f aca="false">Annual_Data!$C$12*U153</f>
        <v>1.5128338535391</v>
      </c>
      <c r="G153" s="11" t="n">
        <f aca="false">Annual_Data!$D$12*V153</f>
        <v>0.09308424344361</v>
      </c>
      <c r="H153" s="12" t="n">
        <f aca="false">(2*Annual_Data!$E$12-Annual_Data!$E$13)+(Annual_Data!$E$12-(2*Annual_Data!$E$12-Annual_Data!$E$13))*D153/12</f>
        <v>10.6333333333333</v>
      </c>
      <c r="I153" s="13" t="n">
        <f aca="false">Annual_Data!$F$12*Y153</f>
        <v>1902.86425391143</v>
      </c>
      <c r="J153" s="13" t="n">
        <f aca="false">Annual_Data!$H$12*W153</f>
        <v>3918.08182621302</v>
      </c>
      <c r="K153" s="13" t="n">
        <f aca="false">Annual_Data!$I$12*X153</f>
        <v>5389.65508137077</v>
      </c>
      <c r="L153" s="12" t="n">
        <f aca="false">K153*0.0036</f>
        <v>19.4027582929348</v>
      </c>
      <c r="M153" s="14" t="n">
        <f aca="false">K153/(I153*E153/1000)</f>
        <v>91.3674430412804</v>
      </c>
      <c r="N153" s="10" t="n">
        <f aca="false">LN(F153)</f>
        <v>0.413984616178291</v>
      </c>
      <c r="O153" s="10" t="n">
        <f aca="false">LN(G153)</f>
        <v>-2.37425035237781</v>
      </c>
      <c r="P153" s="10" t="n">
        <f aca="false">LN(I153)</f>
        <v>7.55111553207262</v>
      </c>
      <c r="Q153" s="10" t="n">
        <f aca="false">LN(J153)</f>
        <v>8.27335748297579</v>
      </c>
      <c r="R153" s="10" t="n">
        <f aca="false">LN(M153)</f>
        <v>4.51488921195528</v>
      </c>
      <c r="S153" s="3" t="n">
        <v>0</v>
      </c>
      <c r="T153" s="3" t="s">
        <v>47</v>
      </c>
      <c r="U153" s="15" t="n">
        <v>0.085470839183</v>
      </c>
      <c r="V153" s="15" t="n">
        <v>0.090373051887</v>
      </c>
      <c r="W153" s="15" t="n">
        <v>0.085495370215</v>
      </c>
      <c r="X153" s="15" t="n">
        <v>0.084748334508</v>
      </c>
      <c r="Y153" s="15" t="n">
        <v>1.000980670127</v>
      </c>
    </row>
    <row r="154" customFormat="false" ht="15" hidden="false" customHeight="true" outlineLevel="0" collapsed="false">
      <c r="A154" s="3" t="s">
        <v>19</v>
      </c>
      <c r="B154" s="9" t="n">
        <v>44440</v>
      </c>
      <c r="C154" s="3" t="n">
        <v>2021</v>
      </c>
      <c r="D154" s="3" t="n">
        <v>9</v>
      </c>
      <c r="E154" s="3" t="n">
        <v>30</v>
      </c>
      <c r="F154" s="10" t="n">
        <f aca="false">Annual_Data!$C$12*U154</f>
        <v>1.3731962819211</v>
      </c>
      <c r="G154" s="11" t="n">
        <f aca="false">Annual_Data!$D$12*V154</f>
        <v>0.08011012526538</v>
      </c>
      <c r="H154" s="12" t="n">
        <f aca="false">(2*Annual_Data!$E$12-Annual_Data!$E$13)+(Annual_Data!$E$12-(2*Annual_Data!$E$12-Annual_Data!$E$13))*D154/12</f>
        <v>10.575</v>
      </c>
      <c r="I154" s="13" t="n">
        <f aca="false">Annual_Data!$F$12*Y154</f>
        <v>1864.19669344281</v>
      </c>
      <c r="J154" s="13" t="n">
        <f aca="false">Annual_Data!$H$12*W154</f>
        <v>4209.41854114733</v>
      </c>
      <c r="K154" s="13" t="n">
        <f aca="false">Annual_Data!$I$12*X154</f>
        <v>5000.82424601162</v>
      </c>
      <c r="L154" s="12" t="n">
        <f aca="false">K154*0.0036</f>
        <v>18.0029672856418</v>
      </c>
      <c r="M154" s="14" t="n">
        <f aca="false">K154/(I154*E154/1000)</f>
        <v>89.418751851699</v>
      </c>
      <c r="N154" s="10" t="n">
        <f aca="false">LN(F154)</f>
        <v>0.317141074995856</v>
      </c>
      <c r="O154" s="10" t="n">
        <f aca="false">LN(G154)</f>
        <v>-2.52435302508913</v>
      </c>
      <c r="P154" s="10" t="n">
        <f aca="false">LN(I154)</f>
        <v>7.53058551191173</v>
      </c>
      <c r="Q154" s="10" t="n">
        <f aca="false">LN(J154)</f>
        <v>8.34507980339612</v>
      </c>
      <c r="R154" s="10" t="n">
        <f aca="false">LN(M154)</f>
        <v>4.49333041244068</v>
      </c>
      <c r="S154" s="3" t="n">
        <v>0</v>
      </c>
      <c r="T154" s="3" t="s">
        <v>47</v>
      </c>
      <c r="U154" s="15" t="n">
        <v>0.077581710843</v>
      </c>
      <c r="V154" s="15" t="n">
        <v>0.077776820646</v>
      </c>
      <c r="W154" s="15" t="n">
        <v>0.091852547376</v>
      </c>
      <c r="X154" s="15" t="n">
        <v>0.078634257595</v>
      </c>
      <c r="Y154" s="15" t="n">
        <v>0.980640028113</v>
      </c>
    </row>
    <row r="155" customFormat="false" ht="15" hidden="false" customHeight="true" outlineLevel="0" collapsed="false">
      <c r="A155" s="3" t="s">
        <v>19</v>
      </c>
      <c r="B155" s="9" t="n">
        <v>44470</v>
      </c>
      <c r="C155" s="3" t="n">
        <v>2021</v>
      </c>
      <c r="D155" s="3" t="n">
        <v>10</v>
      </c>
      <c r="E155" s="3" t="n">
        <v>31</v>
      </c>
      <c r="F155" s="10" t="n">
        <f aca="false">Annual_Data!$C$12*U155</f>
        <v>1.4222249585067</v>
      </c>
      <c r="G155" s="11" t="n">
        <f aca="false">Annual_Data!$D$12*V155</f>
        <v>0.08367155159948</v>
      </c>
      <c r="H155" s="12" t="n">
        <f aca="false">(2*Annual_Data!$E$12-Annual_Data!$E$13)+(Annual_Data!$E$12-(2*Annual_Data!$E$12-Annual_Data!$E$13))*D155/12</f>
        <v>10.5166666666667</v>
      </c>
      <c r="I155" s="13" t="n">
        <f aca="false">Annual_Data!$F$12*Y155</f>
        <v>1911.28121010753</v>
      </c>
      <c r="J155" s="13" t="n">
        <f aca="false">Annual_Data!$H$12*W155</f>
        <v>4620.42987706192</v>
      </c>
      <c r="K155" s="13" t="n">
        <f aca="false">Annual_Data!$I$12*X155</f>
        <v>5250.4177441416</v>
      </c>
      <c r="L155" s="12" t="n">
        <f aca="false">K155*0.0036</f>
        <v>18.9015038789097</v>
      </c>
      <c r="M155" s="14" t="n">
        <f aca="false">K155/(I155*E155/1000)</f>
        <v>88.6150679614641</v>
      </c>
      <c r="N155" s="10" t="n">
        <f aca="false">LN(F155)</f>
        <v>0.352222517537525</v>
      </c>
      <c r="O155" s="10" t="n">
        <f aca="false">LN(G155)</f>
        <v>-2.48085624457168</v>
      </c>
      <c r="P155" s="10" t="n">
        <f aca="false">LN(I155)</f>
        <v>7.55552908679341</v>
      </c>
      <c r="Q155" s="10" t="n">
        <f aca="false">LN(J155)</f>
        <v>8.43824302673028</v>
      </c>
      <c r="R155" s="10" t="n">
        <f aca="false">LN(M155)</f>
        <v>4.48430191043638</v>
      </c>
      <c r="S155" s="3" t="n">
        <v>0</v>
      </c>
      <c r="T155" s="3" t="s">
        <v>47</v>
      </c>
      <c r="U155" s="15" t="n">
        <v>0.080351692571</v>
      </c>
      <c r="V155" s="15" t="n">
        <v>0.081234516116</v>
      </c>
      <c r="W155" s="15" t="n">
        <v>0.100821111047</v>
      </c>
      <c r="X155" s="15" t="n">
        <v>0.082558930501</v>
      </c>
      <c r="Y155" s="15" t="n">
        <v>1.005408316732</v>
      </c>
    </row>
    <row r="156" customFormat="false" ht="15" hidden="false" customHeight="true" outlineLevel="0" collapsed="false">
      <c r="A156" s="3" t="s">
        <v>19</v>
      </c>
      <c r="B156" s="9" t="n">
        <v>44501</v>
      </c>
      <c r="C156" s="3" t="n">
        <v>2021</v>
      </c>
      <c r="D156" s="3" t="n">
        <v>11</v>
      </c>
      <c r="E156" s="3" t="n">
        <v>30</v>
      </c>
      <c r="F156" s="10" t="n">
        <f aca="false">Annual_Data!$C$12*U156</f>
        <v>1.3922205571581</v>
      </c>
      <c r="G156" s="11" t="n">
        <f aca="false">Annual_Data!$D$12*V156</f>
        <v>0.08536215291963</v>
      </c>
      <c r="H156" s="12" t="n">
        <f aca="false">(2*Annual_Data!$E$12-Annual_Data!$E$13)+(Annual_Data!$E$12-(2*Annual_Data!$E$12-Annual_Data!$E$13))*D156/12</f>
        <v>10.4583333333333</v>
      </c>
      <c r="I156" s="13" t="n">
        <f aca="false">Annual_Data!$F$12*Y156</f>
        <v>1904.20740145412</v>
      </c>
      <c r="J156" s="13" t="n">
        <f aca="false">Annual_Data!$H$12*W156</f>
        <v>4826.30478426277</v>
      </c>
      <c r="K156" s="13" t="n">
        <f aca="false">Annual_Data!$I$12*X156</f>
        <v>5228.01755318045</v>
      </c>
      <c r="L156" s="12" t="n">
        <f aca="false">K156*0.0036</f>
        <v>18.8208631914496</v>
      </c>
      <c r="M156" s="14" t="n">
        <f aca="false">K156/(I156*E156/1000)</f>
        <v>91.5169490674204</v>
      </c>
      <c r="N156" s="10" t="n">
        <f aca="false">LN(F156)</f>
        <v>0.330899995595216</v>
      </c>
      <c r="O156" s="10" t="n">
        <f aca="false">LN(G156)</f>
        <v>-2.46085245066155</v>
      </c>
      <c r="P156" s="10" t="n">
        <f aca="false">LN(I156)</f>
        <v>7.55182113875409</v>
      </c>
      <c r="Q156" s="10" t="n">
        <f aca="false">LN(J156)</f>
        <v>8.48183639882462</v>
      </c>
      <c r="R156" s="10" t="n">
        <f aca="false">LN(M156)</f>
        <v>4.51652419083697</v>
      </c>
      <c r="S156" s="3" t="n">
        <v>0</v>
      </c>
      <c r="T156" s="3" t="s">
        <v>47</v>
      </c>
      <c r="U156" s="15" t="n">
        <v>0.078656528653</v>
      </c>
      <c r="V156" s="15" t="n">
        <v>0.082875876621</v>
      </c>
      <c r="W156" s="15" t="n">
        <v>0.105313449949</v>
      </c>
      <c r="X156" s="15" t="n">
        <v>0.082206704088</v>
      </c>
      <c r="Y156" s="15" t="n">
        <v>1.001687218019</v>
      </c>
    </row>
    <row r="157" customFormat="false" ht="15" hidden="false" customHeight="true" outlineLevel="0" collapsed="false">
      <c r="A157" s="3" t="s">
        <v>19</v>
      </c>
      <c r="B157" s="9" t="n">
        <v>44531</v>
      </c>
      <c r="C157" s="3" t="n">
        <v>2021</v>
      </c>
      <c r="D157" s="3" t="n">
        <v>12</v>
      </c>
      <c r="E157" s="3" t="n">
        <v>31</v>
      </c>
      <c r="F157" s="10" t="n">
        <f aca="false">Annual_Data!$C$12*U157</f>
        <v>1.4238918159339</v>
      </c>
      <c r="G157" s="11" t="n">
        <f aca="false">Annual_Data!$D$12*V157</f>
        <v>0.09085520230531</v>
      </c>
      <c r="H157" s="12" t="n">
        <f aca="false">(2*Annual_Data!$E$12-Annual_Data!$E$13)+(Annual_Data!$E$12-(2*Annual_Data!$E$12-Annual_Data!$E$13))*D157/12</f>
        <v>10.4</v>
      </c>
      <c r="I157" s="13" t="n">
        <f aca="false">Annual_Data!$F$12*Y157</f>
        <v>1901.73852212098</v>
      </c>
      <c r="J157" s="13" t="n">
        <f aca="false">Annual_Data!$H$12*W157</f>
        <v>5540.94505293221</v>
      </c>
      <c r="K157" s="13" t="n">
        <f aca="false">Annual_Data!$I$12*X157</f>
        <v>5487.73195456439</v>
      </c>
      <c r="L157" s="12" t="n">
        <f aca="false">K157*0.0036</f>
        <v>19.7558350364318</v>
      </c>
      <c r="M157" s="14" t="n">
        <f aca="false">K157/(I157*E157/1000)</f>
        <v>93.0851478152364</v>
      </c>
      <c r="N157" s="10" t="n">
        <f aca="false">LN(F157)</f>
        <v>0.353393838147238</v>
      </c>
      <c r="O157" s="10" t="n">
        <f aca="false">LN(G157)</f>
        <v>-2.39848822320031</v>
      </c>
      <c r="P157" s="10" t="n">
        <f aca="false">LN(I157)</f>
        <v>7.55052375842919</v>
      </c>
      <c r="Q157" s="10" t="n">
        <f aca="false">LN(J157)</f>
        <v>8.61992035236487</v>
      </c>
      <c r="R157" s="10" t="n">
        <f aca="false">LN(M157)</f>
        <v>4.53351464218238</v>
      </c>
      <c r="S157" s="3" t="n">
        <v>0</v>
      </c>
      <c r="T157" s="3" t="s">
        <v>47</v>
      </c>
      <c r="U157" s="15" t="n">
        <v>0.080445865307</v>
      </c>
      <c r="V157" s="15" t="n">
        <v>0.088208934277</v>
      </c>
      <c r="W157" s="15" t="n">
        <v>0.120907415836</v>
      </c>
      <c r="X157" s="15" t="n">
        <v>0.086290520702</v>
      </c>
      <c r="Y157" s="15" t="n">
        <v>1.000388491384</v>
      </c>
    </row>
    <row r="158" customFormat="false" ht="15" hidden="false" customHeight="true" outlineLevel="0" collapsed="false">
      <c r="A158" s="3" t="s">
        <v>19</v>
      </c>
      <c r="B158" s="9" t="n">
        <v>44562</v>
      </c>
      <c r="C158" s="3" t="n">
        <v>2022</v>
      </c>
      <c r="D158" s="3" t="n">
        <v>1</v>
      </c>
      <c r="E158" s="3" t="n">
        <v>31</v>
      </c>
      <c r="F158" s="10" t="n">
        <f aca="false">Annual_Data!$C$13*U158</f>
        <v>1.36143454365</v>
      </c>
      <c r="G158" s="11" t="n">
        <f aca="false">Annual_Data!$D$13*V158</f>
        <v>0.08883629842518</v>
      </c>
      <c r="H158" s="12" t="n">
        <f aca="false">Annual_Data!$E$12+(Annual_Data!$E$13-Annual_Data!$E$12)*D158/12</f>
        <v>10.3416666666667</v>
      </c>
      <c r="I158" s="13" t="n">
        <f aca="false">Annual_Data!$F$13*Y158</f>
        <v>1874.88834189267</v>
      </c>
      <c r="J158" s="13" t="n">
        <f aca="false">Annual_Data!$H$13*W158</f>
        <v>5669.19095340671</v>
      </c>
      <c r="K158" s="13" t="n">
        <f aca="false">Annual_Data!$I$13*X158</f>
        <v>5310.73104878639</v>
      </c>
      <c r="L158" s="12" t="n">
        <f aca="false">K158*0.0036</f>
        <v>19.118631775631</v>
      </c>
      <c r="M158" s="14" t="n">
        <f aca="false">K158/(I158*E158/1000)</f>
        <v>91.3728572372594</v>
      </c>
      <c r="N158" s="10" t="n">
        <f aca="false">LN(F158)</f>
        <v>0.30853895533255</v>
      </c>
      <c r="O158" s="10" t="n">
        <f aca="false">LN(G158)</f>
        <v>-2.42095994645677</v>
      </c>
      <c r="P158" s="10" t="n">
        <f aca="false">LN(I158)</f>
        <v>7.53630438564071</v>
      </c>
      <c r="Q158" s="10" t="n">
        <f aca="false">LN(J158)</f>
        <v>8.64280169754723</v>
      </c>
      <c r="R158" s="10" t="n">
        <f aca="false">LN(M158)</f>
        <v>4.51494846758715</v>
      </c>
      <c r="S158" s="3" t="n">
        <v>0</v>
      </c>
      <c r="T158" s="3" t="s">
        <v>47</v>
      </c>
      <c r="U158" s="15" t="n">
        <v>0.09076230291</v>
      </c>
      <c r="V158" s="15" t="n">
        <v>0.083807828703</v>
      </c>
      <c r="W158" s="15" t="n">
        <v>0.072224513382</v>
      </c>
      <c r="X158" s="15" t="n">
        <v>0.087965332993</v>
      </c>
      <c r="Y158" s="15" t="n">
        <v>0.994635725142</v>
      </c>
    </row>
    <row r="159" customFormat="false" ht="15" hidden="false" customHeight="true" outlineLevel="0" collapsed="false">
      <c r="A159" s="3" t="s">
        <v>19</v>
      </c>
      <c r="B159" s="9" t="n">
        <v>44593</v>
      </c>
      <c r="C159" s="3" t="n">
        <v>2022</v>
      </c>
      <c r="D159" s="3" t="n">
        <v>2</v>
      </c>
      <c r="E159" s="3" t="n">
        <v>28</v>
      </c>
      <c r="F159" s="10" t="n">
        <f aca="false">Annual_Data!$C$13*U159</f>
        <v>1.187610135615</v>
      </c>
      <c r="G159" s="11" t="n">
        <f aca="false">Annual_Data!$D$13*V159</f>
        <v>0.0806957686743</v>
      </c>
      <c r="H159" s="12" t="n">
        <f aca="false">Annual_Data!$E$12+(Annual_Data!$E$13-Annual_Data!$E$12)*D159/12</f>
        <v>10.2833333333333</v>
      </c>
      <c r="I159" s="13" t="n">
        <f aca="false">Annual_Data!$F$13*Y159</f>
        <v>1871.91978899016</v>
      </c>
      <c r="J159" s="13" t="n">
        <f aca="false">Annual_Data!$H$13*W159</f>
        <v>5659.73339690652</v>
      </c>
      <c r="K159" s="13" t="n">
        <f aca="false">Annual_Data!$I$13*X159</f>
        <v>4745.39744834808</v>
      </c>
      <c r="L159" s="12" t="n">
        <f aca="false">K159*0.0036</f>
        <v>17.0834308140531</v>
      </c>
      <c r="M159" s="14" t="n">
        <f aca="false">K159/(I159*E159/1000)</f>
        <v>90.5372555463896</v>
      </c>
      <c r="N159" s="10" t="n">
        <f aca="false">LN(F159)</f>
        <v>0.171942998407088</v>
      </c>
      <c r="O159" s="10" t="n">
        <f aca="false">LN(G159)</f>
        <v>-2.51706913786527</v>
      </c>
      <c r="P159" s="10" t="n">
        <f aca="false">LN(I159)</f>
        <v>7.53471980835788</v>
      </c>
      <c r="Q159" s="10" t="n">
        <f aca="false">LN(J159)</f>
        <v>8.6411320670678</v>
      </c>
      <c r="R159" s="10" t="n">
        <f aca="false">LN(M159)</f>
        <v>4.50576142949173</v>
      </c>
      <c r="S159" s="3" t="n">
        <v>0</v>
      </c>
      <c r="T159" s="3" t="s">
        <v>47</v>
      </c>
      <c r="U159" s="15" t="n">
        <v>0.079174009041</v>
      </c>
      <c r="V159" s="15" t="n">
        <v>0.076128083655</v>
      </c>
      <c r="W159" s="15" t="n">
        <v>0.072104025746</v>
      </c>
      <c r="X159" s="15" t="n">
        <v>0.078601319271</v>
      </c>
      <c r="Y159" s="15" t="n">
        <v>0.993060896016</v>
      </c>
    </row>
    <row r="160" customFormat="false" ht="15" hidden="false" customHeight="true" outlineLevel="0" collapsed="false">
      <c r="A160" s="3" t="s">
        <v>19</v>
      </c>
      <c r="B160" s="9" t="n">
        <v>44621</v>
      </c>
      <c r="C160" s="3" t="n">
        <v>2022</v>
      </c>
      <c r="D160" s="3" t="n">
        <v>3</v>
      </c>
      <c r="E160" s="3" t="n">
        <v>31</v>
      </c>
      <c r="F160" s="10" t="n">
        <f aca="false">Annual_Data!$C$13*U160</f>
        <v>1.28823671514</v>
      </c>
      <c r="G160" s="11" t="n">
        <f aca="false">Annual_Data!$D$13*V160</f>
        <v>0.08996453966698</v>
      </c>
      <c r="H160" s="12" t="n">
        <f aca="false">Annual_Data!$E$12+(Annual_Data!$E$13-Annual_Data!$E$12)*D160/12</f>
        <v>10.225</v>
      </c>
      <c r="I160" s="13" t="n">
        <f aca="false">Annual_Data!$F$13*Y160</f>
        <v>1891.692740543</v>
      </c>
      <c r="J160" s="13" t="n">
        <f aca="false">Annual_Data!$H$13*W160</f>
        <v>6434.24601626669</v>
      </c>
      <c r="K160" s="13" t="n">
        <f aca="false">Annual_Data!$I$13*X160</f>
        <v>5165.43553438051</v>
      </c>
      <c r="L160" s="12" t="n">
        <f aca="false">K160*0.0036</f>
        <v>18.5955679237698</v>
      </c>
      <c r="M160" s="14" t="n">
        <f aca="false">K160/(I160*E160/1000)</f>
        <v>88.0835186131354</v>
      </c>
      <c r="N160" s="10" t="n">
        <f aca="false">LN(F160)</f>
        <v>0.253274395842343</v>
      </c>
      <c r="O160" s="10" t="n">
        <f aca="false">LN(G160)</f>
        <v>-2.40833968999195</v>
      </c>
      <c r="P160" s="10" t="n">
        <f aca="false">LN(I160)</f>
        <v>7.54522733713346</v>
      </c>
      <c r="Q160" s="10" t="n">
        <f aca="false">LN(J160)</f>
        <v>8.76938994397606</v>
      </c>
      <c r="R160" s="10" t="n">
        <f aca="false">LN(M160)</f>
        <v>4.47828543954041</v>
      </c>
      <c r="S160" s="3" t="n">
        <v>0</v>
      </c>
      <c r="T160" s="3" t="s">
        <v>47</v>
      </c>
      <c r="U160" s="15" t="n">
        <v>0.085882447676</v>
      </c>
      <c r="V160" s="15" t="n">
        <v>0.084872207233</v>
      </c>
      <c r="W160" s="15" t="n">
        <v>0.081971182718</v>
      </c>
      <c r="X160" s="15" t="n">
        <v>0.085558702307</v>
      </c>
      <c r="Y160" s="15" t="n">
        <v>1.003550525487</v>
      </c>
    </row>
    <row r="161" customFormat="false" ht="15" hidden="false" customHeight="true" outlineLevel="0" collapsed="false">
      <c r="A161" s="3" t="s">
        <v>19</v>
      </c>
      <c r="B161" s="9" t="n">
        <v>44652</v>
      </c>
      <c r="C161" s="3" t="n">
        <v>2022</v>
      </c>
      <c r="D161" s="3" t="n">
        <v>4</v>
      </c>
      <c r="E161" s="3" t="n">
        <v>30</v>
      </c>
      <c r="F161" s="10" t="n">
        <f aca="false">Annual_Data!$C$13*U161</f>
        <v>1.187912599365</v>
      </c>
      <c r="G161" s="11" t="n">
        <f aca="false">Annual_Data!$D$13*V161</f>
        <v>0.08566310403646</v>
      </c>
      <c r="H161" s="12" t="n">
        <f aca="false">Annual_Data!$E$12+(Annual_Data!$E$13-Annual_Data!$E$12)*D161/12</f>
        <v>10.1666666666667</v>
      </c>
      <c r="I161" s="13" t="n">
        <f aca="false">Annual_Data!$F$13*Y161</f>
        <v>1868.25422778651</v>
      </c>
      <c r="J161" s="13" t="n">
        <f aca="false">Annual_Data!$H$13*W161</f>
        <v>6357.07767764901</v>
      </c>
      <c r="K161" s="13" t="n">
        <f aca="false">Annual_Data!$I$13*X161</f>
        <v>4858.26888481908</v>
      </c>
      <c r="L161" s="12" t="n">
        <f aca="false">K161*0.0036</f>
        <v>17.4897679853487</v>
      </c>
      <c r="M161" s="14" t="n">
        <f aca="false">K161/(I161*E161/1000)</f>
        <v>86.681081060635</v>
      </c>
      <c r="N161" s="10" t="n">
        <f aca="false">LN(F161)</f>
        <v>0.172197648676</v>
      </c>
      <c r="O161" s="10" t="n">
        <f aca="false">LN(G161)</f>
        <v>-2.45733307074283</v>
      </c>
      <c r="P161" s="10" t="n">
        <f aca="false">LN(I161)</f>
        <v>7.53275970577399</v>
      </c>
      <c r="Q161" s="10" t="n">
        <f aca="false">LN(J161)</f>
        <v>8.75732406609237</v>
      </c>
      <c r="R161" s="10" t="n">
        <f aca="false">LN(M161)</f>
        <v>4.4622356484482</v>
      </c>
      <c r="S161" s="3" t="n">
        <v>0</v>
      </c>
      <c r="T161" s="3" t="s">
        <v>47</v>
      </c>
      <c r="U161" s="15" t="n">
        <v>0.079194173291</v>
      </c>
      <c r="V161" s="15" t="n">
        <v>0.080814249091</v>
      </c>
      <c r="W161" s="15" t="n">
        <v>0.080988071415</v>
      </c>
      <c r="X161" s="15" t="n">
        <v>0.080470887397</v>
      </c>
      <c r="Y161" s="15" t="n">
        <v>0.991116301213</v>
      </c>
    </row>
    <row r="162" customFormat="false" ht="15" hidden="false" customHeight="true" outlineLevel="0" collapsed="false">
      <c r="A162" s="3" t="s">
        <v>19</v>
      </c>
      <c r="B162" s="9" t="n">
        <v>44682</v>
      </c>
      <c r="C162" s="3" t="n">
        <v>2022</v>
      </c>
      <c r="D162" s="3" t="n">
        <v>5</v>
      </c>
      <c r="E162" s="3" t="n">
        <v>31</v>
      </c>
      <c r="F162" s="10" t="n">
        <f aca="false">Annual_Data!$C$13*U162</f>
        <v>1.211224663965</v>
      </c>
      <c r="G162" s="11" t="n">
        <f aca="false">Annual_Data!$D$13*V162</f>
        <v>0.08963453343812</v>
      </c>
      <c r="H162" s="12" t="n">
        <f aca="false">Annual_Data!$E$12+(Annual_Data!$E$13-Annual_Data!$E$12)*D162/12</f>
        <v>10.1083333333333</v>
      </c>
      <c r="I162" s="13" t="n">
        <f aca="false">Annual_Data!$F$13*Y162</f>
        <v>1872.24577125404</v>
      </c>
      <c r="J162" s="13" t="n">
        <f aca="false">Annual_Data!$H$13*W162</f>
        <v>6811.56715881015</v>
      </c>
      <c r="K162" s="13" t="n">
        <f aca="false">Annual_Data!$I$13*X162</f>
        <v>4901.71263411212</v>
      </c>
      <c r="L162" s="12" t="n">
        <f aca="false">K162*0.0036</f>
        <v>17.6461654828036</v>
      </c>
      <c r="M162" s="14" t="n">
        <f aca="false">K162/(I162*E162/1000)</f>
        <v>84.4545971572974</v>
      </c>
      <c r="N162" s="10" t="n">
        <f aca="false">LN(F162)</f>
        <v>0.191631966740912</v>
      </c>
      <c r="O162" s="10" t="n">
        <f aca="false">LN(G162)</f>
        <v>-2.41201461541947</v>
      </c>
      <c r="P162" s="10" t="n">
        <f aca="false">LN(I162)</f>
        <v>7.53489393648307</v>
      </c>
      <c r="Q162" s="10" t="n">
        <f aca="false">LN(J162)</f>
        <v>8.82637749877876</v>
      </c>
      <c r="R162" s="10" t="n">
        <f aca="false">LN(M162)</f>
        <v>4.43621407821148</v>
      </c>
      <c r="S162" s="3" t="n">
        <v>0</v>
      </c>
      <c r="T162" s="3" t="s">
        <v>47</v>
      </c>
      <c r="U162" s="15" t="n">
        <v>0.080748310931</v>
      </c>
      <c r="V162" s="15" t="n">
        <v>0.084560880602</v>
      </c>
      <c r="W162" s="15" t="n">
        <v>0.086778188891</v>
      </c>
      <c r="X162" s="15" t="n">
        <v>0.08119047644</v>
      </c>
      <c r="Y162" s="15" t="n">
        <v>0.993233830904</v>
      </c>
    </row>
    <row r="163" customFormat="false" ht="15" hidden="false" customHeight="true" outlineLevel="0" collapsed="false">
      <c r="A163" s="3" t="s">
        <v>19</v>
      </c>
      <c r="B163" s="9" t="n">
        <v>44713</v>
      </c>
      <c r="C163" s="3" t="n">
        <v>2022</v>
      </c>
      <c r="D163" s="3" t="n">
        <v>6</v>
      </c>
      <c r="E163" s="3" t="n">
        <v>30</v>
      </c>
      <c r="F163" s="10" t="n">
        <f aca="false">Annual_Data!$C$13*U163</f>
        <v>1.20117098208</v>
      </c>
      <c r="G163" s="11" t="n">
        <f aca="false">Annual_Data!$D$13*V163</f>
        <v>0.0885987510758</v>
      </c>
      <c r="H163" s="12" t="n">
        <f aca="false">Annual_Data!$E$12+(Annual_Data!$E$13-Annual_Data!$E$12)*D163/12</f>
        <v>10.05</v>
      </c>
      <c r="I163" s="13" t="n">
        <f aca="false">Annual_Data!$F$13*Y163</f>
        <v>1896.67105357106</v>
      </c>
      <c r="J163" s="13" t="n">
        <f aca="false">Annual_Data!$H$13*W163</f>
        <v>6759.45609379495</v>
      </c>
      <c r="K163" s="13" t="n">
        <f aca="false">Annual_Data!$I$13*X163</f>
        <v>4949.81823710236</v>
      </c>
      <c r="L163" s="12" t="n">
        <f aca="false">K163*0.0036</f>
        <v>17.8193456535685</v>
      </c>
      <c r="M163" s="14" t="n">
        <f aca="false">K163/(I163*E163/1000)</f>
        <v>86.9913319582191</v>
      </c>
      <c r="N163" s="10" t="n">
        <f aca="false">LN(F163)</f>
        <v>0.183296899392685</v>
      </c>
      <c r="O163" s="10" t="n">
        <f aca="false">LN(G163)</f>
        <v>-2.42363751768039</v>
      </c>
      <c r="P163" s="10" t="n">
        <f aca="false">LN(I163)</f>
        <v>7.54785555140446</v>
      </c>
      <c r="Q163" s="10" t="n">
        <f aca="false">LN(J163)</f>
        <v>8.81869770630218</v>
      </c>
      <c r="R163" s="10" t="n">
        <f aca="false">LN(M163)</f>
        <v>4.46580848102677</v>
      </c>
      <c r="S163" s="3" t="n">
        <v>0</v>
      </c>
      <c r="T163" s="3" t="s">
        <v>47</v>
      </c>
      <c r="U163" s="15" t="n">
        <v>0.080078065472</v>
      </c>
      <c r="V163" s="15" t="n">
        <v>0.08358372743</v>
      </c>
      <c r="W163" s="15" t="n">
        <v>0.086114302925</v>
      </c>
      <c r="X163" s="15" t="n">
        <v>0.081987283009</v>
      </c>
      <c r="Y163" s="15" t="n">
        <v>1.006191540356</v>
      </c>
    </row>
    <row r="164" customFormat="false" ht="15" hidden="false" customHeight="true" outlineLevel="0" collapsed="false">
      <c r="A164" s="3" t="s">
        <v>19</v>
      </c>
      <c r="B164" s="9" t="n">
        <v>44743</v>
      </c>
      <c r="C164" s="3" t="n">
        <v>2022</v>
      </c>
      <c r="D164" s="3" t="n">
        <v>7</v>
      </c>
      <c r="E164" s="3" t="n">
        <v>31</v>
      </c>
      <c r="F164" s="10" t="n">
        <f aca="false">Annual_Data!$C$13*U164</f>
        <v>1.27504948614</v>
      </c>
      <c r="G164" s="11" t="n">
        <f aca="false">Annual_Data!$D$13*V164</f>
        <v>0.09444632835938</v>
      </c>
      <c r="H164" s="12" t="n">
        <f aca="false">Annual_Data!$E$12+(Annual_Data!$E$13-Annual_Data!$E$12)*D164/12</f>
        <v>9.99166666666667</v>
      </c>
      <c r="I164" s="13" t="n">
        <f aca="false">Annual_Data!$F$13*Y164</f>
        <v>1899.3877250922</v>
      </c>
      <c r="J164" s="13" t="n">
        <f aca="false">Annual_Data!$H$13*W164</f>
        <v>7214.66757171641</v>
      </c>
      <c r="K164" s="13" t="n">
        <f aca="false">Annual_Data!$I$13*X164</f>
        <v>5209.77986372993</v>
      </c>
      <c r="L164" s="12" t="n">
        <f aca="false">K164*0.0036</f>
        <v>18.7552075094278</v>
      </c>
      <c r="M164" s="14" t="n">
        <f aca="false">K164/(I164*E164/1000)</f>
        <v>88.4797836370521</v>
      </c>
      <c r="N164" s="10" t="n">
        <f aca="false">LN(F164)</f>
        <v>0.242984990516021</v>
      </c>
      <c r="O164" s="10" t="n">
        <f aca="false">LN(G164)</f>
        <v>-2.35972355969833</v>
      </c>
      <c r="P164" s="10" t="n">
        <f aca="false">LN(I164)</f>
        <v>7.54928686326938</v>
      </c>
      <c r="Q164" s="10" t="n">
        <f aca="false">LN(J164)</f>
        <v>8.88387139554032</v>
      </c>
      <c r="R164" s="10" t="n">
        <f aca="false">LN(M164)</f>
        <v>4.48277409243935</v>
      </c>
      <c r="S164" s="3" t="n">
        <v>0</v>
      </c>
      <c r="T164" s="3" t="s">
        <v>47</v>
      </c>
      <c r="U164" s="15" t="n">
        <v>0.085003299076</v>
      </c>
      <c r="V164" s="15" t="n">
        <v>0.089100309773</v>
      </c>
      <c r="W164" s="15" t="n">
        <v>0.091913618515</v>
      </c>
      <c r="X164" s="15" t="n">
        <v>0.086293208284</v>
      </c>
      <c r="Y164" s="15" t="n">
        <v>1.007632745407</v>
      </c>
    </row>
    <row r="165" customFormat="false" ht="15" hidden="false" customHeight="true" outlineLevel="0" collapsed="false">
      <c r="A165" s="3" t="s">
        <v>19</v>
      </c>
      <c r="B165" s="9" t="n">
        <v>44774</v>
      </c>
      <c r="C165" s="3" t="n">
        <v>2022</v>
      </c>
      <c r="D165" s="3" t="n">
        <v>8</v>
      </c>
      <c r="E165" s="3" t="n">
        <v>31</v>
      </c>
      <c r="F165" s="10" t="n">
        <f aca="false">Annual_Data!$C$13*U165</f>
        <v>1.273955347785</v>
      </c>
      <c r="G165" s="11" t="n">
        <f aca="false">Annual_Data!$D$13*V165</f>
        <v>0.09585591382492</v>
      </c>
      <c r="H165" s="12" t="n">
        <f aca="false">Annual_Data!$E$12+(Annual_Data!$E$13-Annual_Data!$E$12)*D165/12</f>
        <v>9.93333333333333</v>
      </c>
      <c r="I165" s="13" t="n">
        <f aca="false">Annual_Data!$F$13*Y165</f>
        <v>1896.22446613444</v>
      </c>
      <c r="J165" s="13" t="n">
        <f aca="false">Annual_Data!$H$13*W165</f>
        <v>7329.65193590679</v>
      </c>
      <c r="K165" s="13" t="n">
        <f aca="false">Annual_Data!$I$13*X165</f>
        <v>5168.35468152616</v>
      </c>
      <c r="L165" s="12" t="n">
        <f aca="false">K165*0.0036</f>
        <v>18.6060768534942</v>
      </c>
      <c r="M165" s="14" t="n">
        <f aca="false">K165/(I165*E165/1000)</f>
        <v>87.9226704097847</v>
      </c>
      <c r="N165" s="10" t="n">
        <f aca="false">LN(F165)</f>
        <v>0.242126507701367</v>
      </c>
      <c r="O165" s="10" t="n">
        <f aca="false">LN(G165)</f>
        <v>-2.34490911264656</v>
      </c>
      <c r="P165" s="10" t="n">
        <f aca="false">LN(I165)</f>
        <v>7.54762006511892</v>
      </c>
      <c r="Q165" s="10" t="n">
        <f aca="false">LN(J165)</f>
        <v>8.89968330888379</v>
      </c>
      <c r="R165" s="10" t="n">
        <f aca="false">LN(M165)</f>
        <v>4.47645768281183</v>
      </c>
      <c r="S165" s="3" t="n">
        <v>0</v>
      </c>
      <c r="T165" s="3" t="s">
        <v>47</v>
      </c>
      <c r="U165" s="15" t="n">
        <v>0.084930356519</v>
      </c>
      <c r="V165" s="15" t="n">
        <v>0.090430107382</v>
      </c>
      <c r="W165" s="15" t="n">
        <v>0.093378499451</v>
      </c>
      <c r="X165" s="15" t="n">
        <v>0.085607054172</v>
      </c>
      <c r="Y165" s="15" t="n">
        <v>1.005954623944</v>
      </c>
    </row>
    <row r="166" customFormat="false" ht="15" hidden="false" customHeight="true" outlineLevel="0" collapsed="false">
      <c r="A166" s="3" t="s">
        <v>19</v>
      </c>
      <c r="B166" s="9" t="n">
        <v>44805</v>
      </c>
      <c r="C166" s="3" t="n">
        <v>2022</v>
      </c>
      <c r="D166" s="3" t="n">
        <v>9</v>
      </c>
      <c r="E166" s="3" t="n">
        <v>30</v>
      </c>
      <c r="F166" s="10" t="n">
        <f aca="false">Annual_Data!$C$13*U166</f>
        <v>1.2069005544</v>
      </c>
      <c r="G166" s="11" t="n">
        <f aca="false">Annual_Data!$D$13*V166</f>
        <v>0.08361655480514</v>
      </c>
      <c r="H166" s="12" t="n">
        <f aca="false">Annual_Data!$E$12+(Annual_Data!$E$13-Annual_Data!$E$12)*D166/12</f>
        <v>9.875</v>
      </c>
      <c r="I166" s="13" t="n">
        <f aca="false">Annual_Data!$F$13*Y166</f>
        <v>1913.7131750982</v>
      </c>
      <c r="J166" s="13" t="n">
        <f aca="false">Annual_Data!$H$13*W166</f>
        <v>6967.87303990612</v>
      </c>
      <c r="K166" s="13" t="n">
        <f aca="false">Annual_Data!$I$13*X166</f>
        <v>4946.64006370558</v>
      </c>
      <c r="L166" s="12" t="n">
        <f aca="false">K166*0.0036</f>
        <v>17.8079042293401</v>
      </c>
      <c r="M166" s="14" t="n">
        <f aca="false">K166/(I166*E166/1000)</f>
        <v>86.1612932748178</v>
      </c>
      <c r="N166" s="10" t="n">
        <f aca="false">LN(F166)</f>
        <v>0.188055548000297</v>
      </c>
      <c r="O166" s="10" t="n">
        <f aca="false">LN(G166)</f>
        <v>-2.48151375451071</v>
      </c>
      <c r="P166" s="10" t="n">
        <f aca="false">LN(I166)</f>
        <v>7.5568007045128</v>
      </c>
      <c r="Q166" s="10" t="n">
        <f aca="false">LN(J166)</f>
        <v>8.84906529791659</v>
      </c>
      <c r="R166" s="10" t="n">
        <f aca="false">LN(M166)</f>
        <v>4.45622104288889</v>
      </c>
      <c r="S166" s="3" t="n">
        <v>0</v>
      </c>
      <c r="T166" s="3" t="s">
        <v>47</v>
      </c>
      <c r="U166" s="15" t="n">
        <v>0.08046003696</v>
      </c>
      <c r="V166" s="15" t="n">
        <v>0.078883542269</v>
      </c>
      <c r="W166" s="15" t="n">
        <v>0.088769498814</v>
      </c>
      <c r="X166" s="15" t="n">
        <v>0.081934640712</v>
      </c>
      <c r="Y166" s="15" t="n">
        <v>1.015232453633</v>
      </c>
    </row>
    <row r="167" customFormat="false" ht="15" hidden="false" customHeight="true" outlineLevel="0" collapsed="false">
      <c r="A167" s="3" t="s">
        <v>19</v>
      </c>
      <c r="B167" s="9" t="n">
        <v>44835</v>
      </c>
      <c r="C167" s="3" t="n">
        <v>2022</v>
      </c>
      <c r="D167" s="3" t="n">
        <v>10</v>
      </c>
      <c r="E167" s="3" t="n">
        <v>31</v>
      </c>
      <c r="F167" s="10" t="n">
        <f aca="false">Annual_Data!$C$13*U167</f>
        <v>1.222889390655</v>
      </c>
      <c r="G167" s="11" t="n">
        <f aca="false">Annual_Data!$D$13*V167</f>
        <v>0.08317518661504</v>
      </c>
      <c r="H167" s="12" t="n">
        <f aca="false">Annual_Data!$E$12+(Annual_Data!$E$13-Annual_Data!$E$12)*D167/12</f>
        <v>9.81666666666667</v>
      </c>
      <c r="I167" s="13" t="n">
        <f aca="false">Annual_Data!$F$13*Y167</f>
        <v>1874.21243099974</v>
      </c>
      <c r="J167" s="13" t="n">
        <f aca="false">Annual_Data!$H$13*W167</f>
        <v>6811.54027869684</v>
      </c>
      <c r="K167" s="13" t="n">
        <f aca="false">Annual_Data!$I$13*X167</f>
        <v>4905.74466737588</v>
      </c>
      <c r="L167" s="12" t="n">
        <f aca="false">K167*0.0036</f>
        <v>17.6606808025532</v>
      </c>
      <c r="M167" s="14" t="n">
        <f aca="false">K167/(I167*E167/1000)</f>
        <v>84.4353742203351</v>
      </c>
      <c r="N167" s="10" t="n">
        <f aca="false">LN(F167)</f>
        <v>0.201216411613366</v>
      </c>
      <c r="O167" s="10" t="n">
        <f aca="false">LN(G167)</f>
        <v>-2.48680621343671</v>
      </c>
      <c r="P167" s="10" t="n">
        <f aca="false">LN(I167)</f>
        <v>7.53594381336421</v>
      </c>
      <c r="Q167" s="10" t="n">
        <f aca="false">LN(J167)</f>
        <v>8.82637355252591</v>
      </c>
      <c r="R167" s="10" t="n">
        <f aca="false">LN(M167)</f>
        <v>4.43598643962657</v>
      </c>
      <c r="S167" s="3" t="n">
        <v>0</v>
      </c>
      <c r="T167" s="3" t="s">
        <v>47</v>
      </c>
      <c r="U167" s="15" t="n">
        <v>0.081525959377</v>
      </c>
      <c r="V167" s="15" t="n">
        <v>0.078467157184</v>
      </c>
      <c r="W167" s="15" t="n">
        <v>0.086777846443</v>
      </c>
      <c r="X167" s="15" t="n">
        <v>0.081257261812</v>
      </c>
      <c r="Y167" s="15" t="n">
        <v>0.994277151724</v>
      </c>
    </row>
    <row r="168" customFormat="false" ht="15" hidden="false" customHeight="true" outlineLevel="0" collapsed="false">
      <c r="A168" s="3" t="s">
        <v>19</v>
      </c>
      <c r="B168" s="9" t="n">
        <v>44866</v>
      </c>
      <c r="C168" s="3" t="n">
        <v>2022</v>
      </c>
      <c r="D168" s="3" t="n">
        <v>11</v>
      </c>
      <c r="E168" s="3" t="n">
        <v>30</v>
      </c>
      <c r="F168" s="10" t="n">
        <f aca="false">Annual_Data!$C$13*U168</f>
        <v>1.25280186546</v>
      </c>
      <c r="G168" s="11" t="n">
        <f aca="false">Annual_Data!$D$13*V168</f>
        <v>0.08668617778106</v>
      </c>
      <c r="H168" s="12" t="n">
        <f aca="false">Annual_Data!$E$12+(Annual_Data!$E$13-Annual_Data!$E$12)*D168/12</f>
        <v>9.75833333333333</v>
      </c>
      <c r="I168" s="13" t="n">
        <f aca="false">Annual_Data!$F$13*Y168</f>
        <v>1890.56486982584</v>
      </c>
      <c r="J168" s="13" t="n">
        <f aca="false">Annual_Data!$H$13*W168</f>
        <v>6266.16313999803</v>
      </c>
      <c r="K168" s="13" t="n">
        <f aca="false">Annual_Data!$I$13*X168</f>
        <v>4982.32425478216</v>
      </c>
      <c r="L168" s="12" t="n">
        <f aca="false">K168*0.0036</f>
        <v>17.9363673172158</v>
      </c>
      <c r="M168" s="14" t="n">
        <f aca="false">K168/(I168*E168/1000)</f>
        <v>87.8454253594084</v>
      </c>
      <c r="N168" s="10" t="n">
        <f aca="false">LN(F168)</f>
        <v>0.22538253528586</v>
      </c>
      <c r="O168" s="10" t="n">
        <f aca="false">LN(G168)</f>
        <v>-2.44546083372928</v>
      </c>
      <c r="P168" s="10" t="n">
        <f aca="false">LN(I168)</f>
        <v>7.5446309363238</v>
      </c>
      <c r="Q168" s="10" t="n">
        <f aca="false">LN(J168)</f>
        <v>8.74291950692138</v>
      </c>
      <c r="R168" s="10" t="n">
        <f aca="false">LN(M168)</f>
        <v>4.47557873996374</v>
      </c>
      <c r="S168" s="3" t="n">
        <v>0</v>
      </c>
      <c r="T168" s="3" t="s">
        <v>47</v>
      </c>
      <c r="U168" s="15" t="n">
        <v>0.083520124364</v>
      </c>
      <c r="V168" s="15" t="n">
        <v>0.081779413001</v>
      </c>
      <c r="W168" s="15" t="n">
        <v>0.079829835911</v>
      </c>
      <c r="X168" s="15" t="n">
        <v>0.082525702794</v>
      </c>
      <c r="Y168" s="15" t="n">
        <v>1.002952185584</v>
      </c>
    </row>
    <row r="169" customFormat="false" ht="15" hidden="false" customHeight="true" outlineLevel="0" collapsed="false">
      <c r="A169" s="3" t="s">
        <v>19</v>
      </c>
      <c r="B169" s="9" t="n">
        <v>44896</v>
      </c>
      <c r="C169" s="3" t="n">
        <v>2022</v>
      </c>
      <c r="D169" s="3" t="n">
        <v>12</v>
      </c>
      <c r="E169" s="3" t="n">
        <v>31</v>
      </c>
      <c r="F169" s="10" t="n">
        <f aca="false">Annual_Data!$C$13*U169</f>
        <v>1.33081371576</v>
      </c>
      <c r="G169" s="11" t="n">
        <f aca="false">Annual_Data!$D$13*V169</f>
        <v>0.09282684329762</v>
      </c>
      <c r="H169" s="12" t="n">
        <f aca="false">Annual_Data!$E$12+(Annual_Data!$E$13-Annual_Data!$E$12)*D169/12</f>
        <v>9.7</v>
      </c>
      <c r="I169" s="13" t="n">
        <f aca="false">Annual_Data!$F$13*Y169</f>
        <v>1869.90162472406</v>
      </c>
      <c r="J169" s="13" t="n">
        <f aca="false">Annual_Data!$H$13*W169</f>
        <v>6212.83273694177</v>
      </c>
      <c r="K169" s="13" t="n">
        <f aca="false">Annual_Data!$I$13*X169</f>
        <v>5228.79268139213</v>
      </c>
      <c r="L169" s="12" t="n">
        <f aca="false">K169*0.0036</f>
        <v>18.8236536530117</v>
      </c>
      <c r="M169" s="14" t="n">
        <f aca="false">K169/(I169*E169/1000)</f>
        <v>90.2029975414892</v>
      </c>
      <c r="N169" s="10" t="n">
        <f aca="false">LN(F169)</f>
        <v>0.285790571511238</v>
      </c>
      <c r="O169" s="10" t="n">
        <f aca="false">LN(G169)</f>
        <v>-2.37701942134487</v>
      </c>
      <c r="P169" s="10" t="n">
        <f aca="false">LN(I169)</f>
        <v>7.53364110136539</v>
      </c>
      <c r="Q169" s="10" t="n">
        <f aca="false">LN(J169)</f>
        <v>8.73437222823692</v>
      </c>
      <c r="R169" s="10" t="n">
        <f aca="false">LN(M169)</f>
        <v>4.50206265868369</v>
      </c>
      <c r="S169" s="3" t="n">
        <v>0</v>
      </c>
      <c r="T169" s="3" t="s">
        <v>47</v>
      </c>
      <c r="U169" s="15" t="n">
        <v>0.088720914384</v>
      </c>
      <c r="V169" s="15" t="n">
        <v>0.087572493677</v>
      </c>
      <c r="W169" s="15" t="n">
        <v>0.079150415789</v>
      </c>
      <c r="X169" s="15" t="n">
        <v>0.08660813081</v>
      </c>
      <c r="Y169" s="15" t="n">
        <v>0.991990251843</v>
      </c>
    </row>
    <row r="170" customFormat="false" ht="15" hidden="false" customHeight="true" outlineLevel="0" collapsed="false">
      <c r="A170" s="3" t="s">
        <v>19</v>
      </c>
      <c r="B170" s="9" t="n">
        <v>44927</v>
      </c>
      <c r="C170" s="3" t="n">
        <v>2023</v>
      </c>
      <c r="D170" s="3" t="n">
        <v>1</v>
      </c>
      <c r="E170" s="3" t="n">
        <v>31</v>
      </c>
      <c r="F170" s="10" t="n">
        <f aca="false">Annual_Data!$C$14*U170</f>
        <v>1.3692377583916</v>
      </c>
      <c r="G170" s="11" t="n">
        <f aca="false">Annual_Data!$D$14*V170</f>
        <v>0.094449389742</v>
      </c>
      <c r="H170" s="12" t="n">
        <f aca="false">Annual_Data!$E$13+(Annual_Data!$E$14-Annual_Data!$E$13)*D170/12</f>
        <v>9.71666666666667</v>
      </c>
      <c r="I170" s="13" t="n">
        <f aca="false">Annual_Data!$F$14*Y170</f>
        <v>1897.74394840836</v>
      </c>
      <c r="J170" s="13" t="n">
        <f aca="false">Annual_Data!$H$14*W170</f>
        <v>5953.16530414462</v>
      </c>
      <c r="K170" s="13" t="n">
        <f aca="false">Annual_Data!$I$14*X170</f>
        <v>5244.28488556864</v>
      </c>
      <c r="L170" s="12" t="n">
        <f aca="false">K170*0.0036</f>
        <v>18.8794255880471</v>
      </c>
      <c r="M170" s="14" t="n">
        <f aca="false">K170/(I170*E170/1000)</f>
        <v>89.1429427671299</v>
      </c>
      <c r="N170" s="10" t="n">
        <f aca="false">LN(F170)</f>
        <v>0.314254204266778</v>
      </c>
      <c r="O170" s="10" t="n">
        <f aca="false">LN(G170)</f>
        <v>-2.35969114623072</v>
      </c>
      <c r="P170" s="10" t="n">
        <f aca="false">LN(I170)</f>
        <v>7.54842106406732</v>
      </c>
      <c r="Q170" s="10" t="n">
        <f aca="false">LN(J170)</f>
        <v>8.69167834097626</v>
      </c>
      <c r="R170" s="10" t="n">
        <f aca="false">LN(M170)</f>
        <v>4.49024117984235</v>
      </c>
      <c r="S170" s="3" t="n">
        <v>0</v>
      </c>
      <c r="T170" s="3" t="s">
        <v>47</v>
      </c>
      <c r="U170" s="15" t="n">
        <v>0.083490107219</v>
      </c>
      <c r="V170" s="15" t="n">
        <v>0.094449389742</v>
      </c>
      <c r="W170" s="15" t="n">
        <v>0.106039530898</v>
      </c>
      <c r="X170" s="15" t="n">
        <v>0.087288363608</v>
      </c>
      <c r="Y170" s="15" t="n">
        <v>1.006760715336</v>
      </c>
    </row>
    <row r="171" customFormat="false" ht="15" hidden="false" customHeight="true" outlineLevel="0" collapsed="false">
      <c r="A171" s="3" t="s">
        <v>19</v>
      </c>
      <c r="B171" s="9" t="n">
        <v>44958</v>
      </c>
      <c r="C171" s="3" t="n">
        <v>2023</v>
      </c>
      <c r="D171" s="3" t="n">
        <v>2</v>
      </c>
      <c r="E171" s="3" t="n">
        <v>28</v>
      </c>
      <c r="F171" s="10" t="n">
        <f aca="false">Annual_Data!$C$14*U171</f>
        <v>1.2548514616592</v>
      </c>
      <c r="G171" s="11" t="n">
        <f aca="false">Annual_Data!$D$14*V171</f>
        <v>0.081891888088</v>
      </c>
      <c r="H171" s="12" t="n">
        <f aca="false">Annual_Data!$E$13+(Annual_Data!$E$14-Annual_Data!$E$13)*D171/12</f>
        <v>9.73333333333333</v>
      </c>
      <c r="I171" s="13" t="n">
        <f aca="false">Annual_Data!$F$14*Y171</f>
        <v>1896.53130438544</v>
      </c>
      <c r="J171" s="13" t="n">
        <f aca="false">Annual_Data!$H$14*W171</f>
        <v>5087.31574632048</v>
      </c>
      <c r="K171" s="13" t="n">
        <f aca="false">Annual_Data!$I$14*X171</f>
        <v>4705.54118833024</v>
      </c>
      <c r="L171" s="12" t="n">
        <f aca="false">K171*0.0036</f>
        <v>16.9399482779889</v>
      </c>
      <c r="M171" s="14" t="n">
        <f aca="false">K171/(I171*E171/1000)</f>
        <v>88.6117946230382</v>
      </c>
      <c r="N171" s="10" t="n">
        <f aca="false">LN(F171)</f>
        <v>0.227017208335311</v>
      </c>
      <c r="O171" s="10" t="n">
        <f aca="false">LN(G171)</f>
        <v>-2.50235533957311</v>
      </c>
      <c r="P171" s="10" t="n">
        <f aca="false">LN(I171)</f>
        <v>7.54778186739159</v>
      </c>
      <c r="Q171" s="10" t="n">
        <f aca="false">LN(J171)</f>
        <v>8.53450561215554</v>
      </c>
      <c r="R171" s="10" t="n">
        <f aca="false">LN(M171)</f>
        <v>4.48426497090726</v>
      </c>
      <c r="S171" s="3" t="n">
        <v>0</v>
      </c>
      <c r="T171" s="3" t="s">
        <v>47</v>
      </c>
      <c r="U171" s="15" t="n">
        <v>0.076515333028</v>
      </c>
      <c r="V171" s="15" t="n">
        <v>0.081891888088</v>
      </c>
      <c r="W171" s="15" t="n">
        <v>0.090616763975</v>
      </c>
      <c r="X171" s="15" t="n">
        <v>0.078321258128</v>
      </c>
      <c r="Y171" s="15" t="n">
        <v>1.006117402857</v>
      </c>
    </row>
    <row r="172" customFormat="false" ht="15" hidden="false" customHeight="true" outlineLevel="0" collapsed="false">
      <c r="A172" s="3" t="s">
        <v>19</v>
      </c>
      <c r="B172" s="9" t="n">
        <v>44986</v>
      </c>
      <c r="C172" s="3" t="n">
        <v>2023</v>
      </c>
      <c r="D172" s="3" t="n">
        <v>3</v>
      </c>
      <c r="E172" s="3" t="n">
        <v>31</v>
      </c>
      <c r="F172" s="10" t="n">
        <f aca="false">Annual_Data!$C$14*U172</f>
        <v>1.4101853774968</v>
      </c>
      <c r="G172" s="11" t="n">
        <f aca="false">Annual_Data!$D$14*V172</f>
        <v>0.085170753032</v>
      </c>
      <c r="H172" s="12" t="n">
        <f aca="false">Annual_Data!$E$13+(Annual_Data!$E$14-Annual_Data!$E$13)*D172/12</f>
        <v>9.75</v>
      </c>
      <c r="I172" s="13" t="n">
        <f aca="false">Annual_Data!$F$14*Y172</f>
        <v>1921.20253357039</v>
      </c>
      <c r="J172" s="13" t="n">
        <f aca="false">Annual_Data!$H$14*W172</f>
        <v>5374.22885745532</v>
      </c>
      <c r="K172" s="13" t="n">
        <f aca="false">Annual_Data!$I$14*X172</f>
        <v>5194.56388842096</v>
      </c>
      <c r="L172" s="12" t="n">
        <f aca="false">K172*0.0036</f>
        <v>18.7004299983155</v>
      </c>
      <c r="M172" s="14" t="n">
        <f aca="false">K172/(I172*E172/1000)</f>
        <v>87.219631516116</v>
      </c>
      <c r="N172" s="10" t="n">
        <f aca="false">LN(F172)</f>
        <v>0.343721169150192</v>
      </c>
      <c r="O172" s="10" t="n">
        <f aca="false">LN(G172)</f>
        <v>-2.46309717835127</v>
      </c>
      <c r="P172" s="10" t="n">
        <f aca="false">LN(I172)</f>
        <v>7.56070658853349</v>
      </c>
      <c r="Q172" s="10" t="n">
        <f aca="false">LN(J172)</f>
        <v>8.58937037432288</v>
      </c>
      <c r="R172" s="10" t="n">
        <f aca="false">LN(M172)</f>
        <v>4.46842943764206</v>
      </c>
      <c r="S172" s="3" t="n">
        <v>0</v>
      </c>
      <c r="T172" s="3" t="s">
        <v>47</v>
      </c>
      <c r="U172" s="15" t="n">
        <v>0.085986913262</v>
      </c>
      <c r="V172" s="15" t="n">
        <v>0.085170753032</v>
      </c>
      <c r="W172" s="15" t="n">
        <v>0.095727344676</v>
      </c>
      <c r="X172" s="15" t="n">
        <v>0.086460783762</v>
      </c>
      <c r="Y172" s="15" t="n">
        <v>1.019205588101</v>
      </c>
    </row>
    <row r="173" customFormat="false" ht="15" hidden="false" customHeight="true" outlineLevel="0" collapsed="false">
      <c r="A173" s="3" t="s">
        <v>19</v>
      </c>
      <c r="B173" s="9" t="n">
        <v>45017</v>
      </c>
      <c r="C173" s="3" t="n">
        <v>2023</v>
      </c>
      <c r="D173" s="3" t="n">
        <v>4</v>
      </c>
      <c r="E173" s="3" t="n">
        <v>30</v>
      </c>
      <c r="F173" s="10" t="n">
        <f aca="false">Annual_Data!$C$14*U173</f>
        <v>1.3217932852396</v>
      </c>
      <c r="G173" s="11" t="n">
        <f aca="false">Annual_Data!$D$14*V173</f>
        <v>0.078824788055</v>
      </c>
      <c r="H173" s="12" t="n">
        <f aca="false">Annual_Data!$E$13+(Annual_Data!$E$14-Annual_Data!$E$13)*D173/12</f>
        <v>9.76666666666667</v>
      </c>
      <c r="I173" s="13" t="n">
        <f aca="false">Annual_Data!$F$14*Y173</f>
        <v>1875.70644536288</v>
      </c>
      <c r="J173" s="13" t="n">
        <f aca="false">Annual_Data!$H$14*W173</f>
        <v>4752.1559348554</v>
      </c>
      <c r="K173" s="13" t="n">
        <f aca="false">Annual_Data!$I$14*X173</f>
        <v>4851.82951296792</v>
      </c>
      <c r="L173" s="12" t="n">
        <f aca="false">K173*0.0036</f>
        <v>17.4665862466845</v>
      </c>
      <c r="M173" s="14" t="n">
        <f aca="false">K173/(I173*E173/1000)</f>
        <v>86.2222608618139</v>
      </c>
      <c r="N173" s="10" t="n">
        <f aca="false">LN(F173)</f>
        <v>0.278989364028905</v>
      </c>
      <c r="O173" s="10" t="n">
        <f aca="false">LN(G173)</f>
        <v>-2.54052776235894</v>
      </c>
      <c r="P173" s="10" t="n">
        <f aca="false">LN(I173)</f>
        <v>7.5367406383044</v>
      </c>
      <c r="Q173" s="10" t="n">
        <f aca="false">LN(J173)</f>
        <v>8.46635367507804</v>
      </c>
      <c r="R173" s="10" t="n">
        <f aca="false">LN(M173)</f>
        <v>4.45692839098649</v>
      </c>
      <c r="S173" s="3" t="n">
        <v>0</v>
      </c>
      <c r="T173" s="3" t="s">
        <v>47</v>
      </c>
      <c r="U173" s="15" t="n">
        <v>0.080597151539</v>
      </c>
      <c r="V173" s="15" t="n">
        <v>0.078824788055</v>
      </c>
      <c r="W173" s="15" t="n">
        <v>0.084646798861</v>
      </c>
      <c r="X173" s="15" t="n">
        <v>0.080756150349</v>
      </c>
      <c r="Y173" s="15" t="n">
        <v>0.995069732288</v>
      </c>
    </row>
    <row r="174" customFormat="false" ht="15" hidden="false" customHeight="true" outlineLevel="0" collapsed="false">
      <c r="A174" s="3" t="s">
        <v>19</v>
      </c>
      <c r="B174" s="9" t="n">
        <v>45047</v>
      </c>
      <c r="C174" s="3" t="n">
        <v>2023</v>
      </c>
      <c r="D174" s="3" t="n">
        <v>5</v>
      </c>
      <c r="E174" s="3" t="n">
        <v>31</v>
      </c>
      <c r="F174" s="10" t="n">
        <f aca="false">Annual_Data!$C$14*U174</f>
        <v>1.3828790246344</v>
      </c>
      <c r="G174" s="11" t="n">
        <f aca="false">Annual_Data!$D$14*V174</f>
        <v>0.085850089667</v>
      </c>
      <c r="H174" s="12" t="n">
        <f aca="false">Annual_Data!$E$13+(Annual_Data!$E$14-Annual_Data!$E$13)*D174/12</f>
        <v>9.78333333333333</v>
      </c>
      <c r="I174" s="13" t="n">
        <f aca="false">Annual_Data!$F$14*Y174</f>
        <v>1894.07361924047</v>
      </c>
      <c r="J174" s="13" t="n">
        <f aca="false">Annual_Data!$H$14*W174</f>
        <v>4995.02953765949</v>
      </c>
      <c r="K174" s="13" t="n">
        <f aca="false">Annual_Data!$I$14*X174</f>
        <v>4965.94046270712</v>
      </c>
      <c r="L174" s="12" t="n">
        <f aca="false">K174*0.0036</f>
        <v>17.8773856657456</v>
      </c>
      <c r="M174" s="14" t="n">
        <f aca="false">K174/(I174*E174/1000)</f>
        <v>84.5751855693443</v>
      </c>
      <c r="N174" s="10" t="n">
        <f aca="false">LN(F174)</f>
        <v>0.324167575707237</v>
      </c>
      <c r="O174" s="10" t="n">
        <f aca="false">LN(G174)</f>
        <v>-2.45515264717793</v>
      </c>
      <c r="P174" s="10" t="n">
        <f aca="false">LN(I174)</f>
        <v>7.54648514270575</v>
      </c>
      <c r="Q174" s="10" t="n">
        <f aca="false">LN(J174)</f>
        <v>8.51619860451051</v>
      </c>
      <c r="R174" s="10" t="n">
        <f aca="false">LN(M174)</f>
        <v>4.43764090880382</v>
      </c>
      <c r="S174" s="3" t="n">
        <v>0</v>
      </c>
      <c r="T174" s="3" t="s">
        <v>47</v>
      </c>
      <c r="U174" s="15" t="n">
        <v>0.084321891746</v>
      </c>
      <c r="V174" s="15" t="n">
        <v>0.085850089667</v>
      </c>
      <c r="W174" s="15" t="n">
        <v>0.08897293489</v>
      </c>
      <c r="X174" s="15" t="n">
        <v>0.082655467089</v>
      </c>
      <c r="Y174" s="15" t="n">
        <v>1.004813591109</v>
      </c>
    </row>
    <row r="175" customFormat="false" ht="15" hidden="false" customHeight="true" outlineLevel="0" collapsed="false">
      <c r="A175" s="3" t="s">
        <v>19</v>
      </c>
      <c r="B175" s="9" t="n">
        <v>45078</v>
      </c>
      <c r="C175" s="3" t="n">
        <v>2023</v>
      </c>
      <c r="D175" s="3" t="n">
        <v>6</v>
      </c>
      <c r="E175" s="3" t="n">
        <v>30</v>
      </c>
      <c r="F175" s="10" t="n">
        <f aca="false">Annual_Data!$C$14*U175</f>
        <v>1.3740604245556</v>
      </c>
      <c r="G175" s="11" t="n">
        <f aca="false">Annual_Data!$D$14*V175</f>
        <v>0.08600095818</v>
      </c>
      <c r="H175" s="12" t="n">
        <f aca="false">Annual_Data!$E$13+(Annual_Data!$E$14-Annual_Data!$E$13)*D175/12</f>
        <v>9.8</v>
      </c>
      <c r="I175" s="13" t="n">
        <f aca="false">Annual_Data!$F$14*Y175</f>
        <v>1896.68090072058</v>
      </c>
      <c r="J175" s="13" t="n">
        <f aca="false">Annual_Data!$H$14*W175</f>
        <v>4398.75053221759</v>
      </c>
      <c r="K175" s="13" t="n">
        <f aca="false">Annual_Data!$I$14*X175</f>
        <v>4939.07903217648</v>
      </c>
      <c r="L175" s="12" t="n">
        <f aca="false">K175*0.0036</f>
        <v>17.7806845158353</v>
      </c>
      <c r="M175" s="14" t="n">
        <f aca="false">K175/(I175*E175/1000)</f>
        <v>86.8021435111558</v>
      </c>
      <c r="N175" s="10" t="n">
        <f aca="false">LN(F175)</f>
        <v>0.317770169947894</v>
      </c>
      <c r="O175" s="10" t="n">
        <f aca="false">LN(G175)</f>
        <v>-2.45339684116279</v>
      </c>
      <c r="P175" s="10" t="n">
        <f aca="false">LN(I175)</f>
        <v>7.5478607431977</v>
      </c>
      <c r="Q175" s="10" t="n">
        <f aca="false">LN(J175)</f>
        <v>8.3890758096287</v>
      </c>
      <c r="R175" s="10" t="n">
        <f aca="false">LN(M175)</f>
        <v>4.46363131619038</v>
      </c>
      <c r="S175" s="3" t="n">
        <v>0</v>
      </c>
      <c r="T175" s="3" t="s">
        <v>47</v>
      </c>
      <c r="U175" s="15" t="n">
        <v>0.083784172229</v>
      </c>
      <c r="V175" s="15" t="n">
        <v>0.08600095818</v>
      </c>
      <c r="W175" s="15" t="n">
        <v>0.078351837912</v>
      </c>
      <c r="X175" s="15" t="n">
        <v>0.082208372706</v>
      </c>
      <c r="Y175" s="15" t="n">
        <v>1.006196764308</v>
      </c>
    </row>
    <row r="176" customFormat="false" ht="15" hidden="false" customHeight="true" outlineLevel="0" collapsed="false">
      <c r="A176" s="3" t="s">
        <v>19</v>
      </c>
      <c r="B176" s="9" t="n">
        <v>45108</v>
      </c>
      <c r="C176" s="3" t="n">
        <v>2023</v>
      </c>
      <c r="D176" s="3" t="n">
        <v>7</v>
      </c>
      <c r="E176" s="3" t="n">
        <v>31</v>
      </c>
      <c r="F176" s="10" t="n">
        <f aca="false">Annual_Data!$C$14*U176</f>
        <v>1.432969602346</v>
      </c>
      <c r="G176" s="11" t="n">
        <f aca="false">Annual_Data!$D$14*V176</f>
        <v>0.086519669038</v>
      </c>
      <c r="H176" s="12" t="n">
        <f aca="false">Annual_Data!$E$13+(Annual_Data!$E$14-Annual_Data!$E$13)*D176/12</f>
        <v>9.81666666666667</v>
      </c>
      <c r="I176" s="13" t="n">
        <f aca="false">Annual_Data!$F$14*Y176</f>
        <v>1899.7164371716</v>
      </c>
      <c r="J176" s="13" t="n">
        <f aca="false">Annual_Data!$H$14*W176</f>
        <v>4527.1462729446</v>
      </c>
      <c r="K176" s="13" t="n">
        <f aca="false">Annual_Data!$I$14*X176</f>
        <v>5201.98383745288</v>
      </c>
      <c r="L176" s="12" t="n">
        <f aca="false">K176*0.0036</f>
        <v>18.7271418148304</v>
      </c>
      <c r="M176" s="14" t="n">
        <f aca="false">K176/(I176*E176/1000)</f>
        <v>88.3320936519629</v>
      </c>
      <c r="N176" s="10" t="n">
        <f aca="false">LN(F176)</f>
        <v>0.3597489360223</v>
      </c>
      <c r="O176" s="10" t="n">
        <f aca="false">LN(G176)</f>
        <v>-2.44738350317043</v>
      </c>
      <c r="P176" s="10" t="n">
        <f aca="false">LN(I176)</f>
        <v>7.54945991042271</v>
      </c>
      <c r="Q176" s="10" t="n">
        <f aca="false">LN(J176)</f>
        <v>8.41784705814537</v>
      </c>
      <c r="R176" s="10" t="n">
        <f aca="false">LN(M176)</f>
        <v>4.48110350309091</v>
      </c>
      <c r="S176" s="3" t="n">
        <v>0</v>
      </c>
      <c r="T176" s="3" t="s">
        <v>47</v>
      </c>
      <c r="U176" s="15" t="n">
        <v>0.087376195265</v>
      </c>
      <c r="V176" s="15" t="n">
        <v>0.086519669038</v>
      </c>
      <c r="W176" s="15" t="n">
        <v>0.0806388606</v>
      </c>
      <c r="X176" s="15" t="n">
        <v>0.086584284911</v>
      </c>
      <c r="Y176" s="15" t="n">
        <v>1.007807128473</v>
      </c>
    </row>
    <row r="177" customFormat="false" ht="15" hidden="false" customHeight="true" outlineLevel="0" collapsed="false">
      <c r="A177" s="3" t="s">
        <v>19</v>
      </c>
      <c r="B177" s="9" t="n">
        <v>45139</v>
      </c>
      <c r="C177" s="3" t="n">
        <v>2023</v>
      </c>
      <c r="D177" s="3" t="n">
        <v>8</v>
      </c>
      <c r="E177" s="3" t="n">
        <v>31</v>
      </c>
      <c r="F177" s="10" t="n">
        <f aca="false">Annual_Data!$C$14*U177</f>
        <v>1.415359276688</v>
      </c>
      <c r="G177" s="11" t="n">
        <f aca="false">Annual_Data!$D$14*V177</f>
        <v>0.086350871778</v>
      </c>
      <c r="H177" s="12" t="n">
        <f aca="false">Annual_Data!$E$13+(Annual_Data!$E$14-Annual_Data!$E$13)*D177/12</f>
        <v>9.83333333333333</v>
      </c>
      <c r="I177" s="13" t="n">
        <f aca="false">Annual_Data!$F$14*Y177</f>
        <v>1879.83077075255</v>
      </c>
      <c r="J177" s="13" t="n">
        <f aca="false">Annual_Data!$H$14*W177</f>
        <v>4424.72501982834</v>
      </c>
      <c r="K177" s="13" t="n">
        <f aca="false">Annual_Data!$I$14*X177</f>
        <v>5129.96494478576</v>
      </c>
      <c r="L177" s="12" t="n">
        <f aca="false">K177*0.0036</f>
        <v>18.4678738012287</v>
      </c>
      <c r="M177" s="14" t="n">
        <f aca="false">K177/(I177*E177/1000)</f>
        <v>88.0306582534194</v>
      </c>
      <c r="N177" s="10" t="n">
        <f aca="false">LN(F177)</f>
        <v>0.347383404653154</v>
      </c>
      <c r="O177" s="10" t="n">
        <f aca="false">LN(G177)</f>
        <v>-2.44933637857475</v>
      </c>
      <c r="P177" s="10" t="n">
        <f aca="false">LN(I177)</f>
        <v>7.53893703621519</v>
      </c>
      <c r="Q177" s="10" t="n">
        <f aca="false">LN(J177)</f>
        <v>8.39496341309944</v>
      </c>
      <c r="R177" s="10" t="n">
        <f aca="false">LN(M177)</f>
        <v>4.47768514304817</v>
      </c>
      <c r="S177" s="3" t="n">
        <v>0</v>
      </c>
      <c r="T177" s="3" t="s">
        <v>47</v>
      </c>
      <c r="U177" s="15" t="n">
        <v>0.08630239492</v>
      </c>
      <c r="V177" s="15" t="n">
        <v>0.086350871778</v>
      </c>
      <c r="W177" s="15" t="n">
        <v>0.078814503123</v>
      </c>
      <c r="X177" s="15" t="n">
        <v>0.085385568322</v>
      </c>
      <c r="Y177" s="15" t="n">
        <v>0.997257703317</v>
      </c>
    </row>
    <row r="178" customFormat="false" ht="15" hidden="false" customHeight="true" outlineLevel="0" collapsed="false">
      <c r="A178" s="3" t="s">
        <v>19</v>
      </c>
      <c r="B178" s="9" t="n">
        <v>45170</v>
      </c>
      <c r="C178" s="3" t="n">
        <v>2023</v>
      </c>
      <c r="D178" s="3" t="n">
        <v>9</v>
      </c>
      <c r="E178" s="3" t="n">
        <v>30</v>
      </c>
      <c r="F178" s="10" t="n">
        <f aca="false">Annual_Data!$C$14*U178</f>
        <v>1.3262472454556</v>
      </c>
      <c r="G178" s="11" t="n">
        <f aca="false">Annual_Data!$D$14*V178</f>
        <v>0.079835575648</v>
      </c>
      <c r="H178" s="12" t="n">
        <f aca="false">Annual_Data!$E$13+(Annual_Data!$E$14-Annual_Data!$E$13)*D178/12</f>
        <v>9.85</v>
      </c>
      <c r="I178" s="13" t="n">
        <f aca="false">Annual_Data!$F$14*Y178</f>
        <v>1863.8515048166</v>
      </c>
      <c r="J178" s="13" t="n">
        <f aca="false">Annual_Data!$H$14*W178</f>
        <v>4050.48418066253</v>
      </c>
      <c r="K178" s="13" t="n">
        <f aca="false">Annual_Data!$I$14*X178</f>
        <v>4781.6955458884</v>
      </c>
      <c r="L178" s="12" t="n">
        <f aca="false">K178*0.0036</f>
        <v>17.2141039651982</v>
      </c>
      <c r="M178" s="14" t="n">
        <f aca="false">K178/(I178*E178/1000)</f>
        <v>85.5163896467691</v>
      </c>
      <c r="N178" s="10" t="n">
        <f aca="false">LN(F178)</f>
        <v>0.282353334001844</v>
      </c>
      <c r="O178" s="10" t="n">
        <f aca="false">LN(G178)</f>
        <v>-2.52778606374487</v>
      </c>
      <c r="P178" s="10" t="n">
        <f aca="false">LN(I178)</f>
        <v>7.53040032727417</v>
      </c>
      <c r="Q178" s="10" t="n">
        <f aca="false">LN(J178)</f>
        <v>8.30659170373583</v>
      </c>
      <c r="R178" s="10" t="n">
        <f aca="false">LN(M178)</f>
        <v>4.44870804934727</v>
      </c>
      <c r="S178" s="3" t="n">
        <v>0</v>
      </c>
      <c r="T178" s="3" t="s">
        <v>47</v>
      </c>
      <c r="U178" s="15" t="n">
        <v>0.080868734479</v>
      </c>
      <c r="V178" s="15" t="n">
        <v>0.079835575648</v>
      </c>
      <c r="W178" s="15" t="n">
        <v>0.072148415252</v>
      </c>
      <c r="X178" s="15" t="n">
        <v>0.079588807355</v>
      </c>
      <c r="Y178" s="15" t="n">
        <v>0.98878063916</v>
      </c>
    </row>
    <row r="179" customFormat="false" ht="15" hidden="false" customHeight="true" outlineLevel="0" collapsed="false">
      <c r="A179" s="3" t="s">
        <v>19</v>
      </c>
      <c r="B179" s="9" t="n">
        <v>45200</v>
      </c>
      <c r="C179" s="3" t="n">
        <v>2023</v>
      </c>
      <c r="D179" s="3" t="n">
        <v>10</v>
      </c>
      <c r="E179" s="3" t="n">
        <v>31</v>
      </c>
      <c r="F179" s="10" t="n">
        <f aca="false">Annual_Data!$C$14*U179</f>
        <v>1.33455520126</v>
      </c>
      <c r="G179" s="11" t="n">
        <f aca="false">Annual_Data!$D$14*V179</f>
        <v>0.079996094057</v>
      </c>
      <c r="H179" s="12" t="n">
        <f aca="false">Annual_Data!$E$13+(Annual_Data!$E$14-Annual_Data!$E$13)*D179/12</f>
        <v>9.86666666666667</v>
      </c>
      <c r="I179" s="13" t="n">
        <f aca="false">Annual_Data!$F$14*Y179</f>
        <v>1854.02537458853</v>
      </c>
      <c r="J179" s="13" t="n">
        <f aca="false">Annual_Data!$H$14*W179</f>
        <v>4317.47058841507</v>
      </c>
      <c r="K179" s="13" t="n">
        <f aca="false">Annual_Data!$I$14*X179</f>
        <v>4890.88737779728</v>
      </c>
      <c r="L179" s="12" t="n">
        <f aca="false">K179*0.0036</f>
        <v>17.6071945600702</v>
      </c>
      <c r="M179" s="14" t="n">
        <f aca="false">K179/(I179*E179/1000)</f>
        <v>85.0962250768118</v>
      </c>
      <c r="N179" s="10" t="n">
        <f aca="false">LN(F179)</f>
        <v>0.288598053757787</v>
      </c>
      <c r="O179" s="10" t="n">
        <f aca="false">LN(G179)</f>
        <v>-2.5257774697877</v>
      </c>
      <c r="P179" s="10" t="n">
        <f aca="false">LN(I179)</f>
        <v>7.52511443243372</v>
      </c>
      <c r="Q179" s="10" t="n">
        <f aca="false">LN(J179)</f>
        <v>8.37042499781815</v>
      </c>
      <c r="R179" s="10" t="n">
        <f aca="false">LN(M179)</f>
        <v>4.44378267592109</v>
      </c>
      <c r="S179" s="3" t="n">
        <v>0</v>
      </c>
      <c r="T179" s="3" t="s">
        <v>47</v>
      </c>
      <c r="U179" s="15" t="n">
        <v>0.08137531715</v>
      </c>
      <c r="V179" s="15" t="n">
        <v>0.079996094057</v>
      </c>
      <c r="W179" s="15" t="n">
        <v>0.076904055653</v>
      </c>
      <c r="X179" s="15" t="n">
        <v>0.081406247966</v>
      </c>
      <c r="Y179" s="15" t="n">
        <v>0.983567837978</v>
      </c>
    </row>
    <row r="180" customFormat="false" ht="15" hidden="false" customHeight="true" outlineLevel="0" collapsed="false">
      <c r="A180" s="3" t="s">
        <v>19</v>
      </c>
      <c r="B180" s="9" t="n">
        <v>45231</v>
      </c>
      <c r="C180" s="3" t="n">
        <v>2023</v>
      </c>
      <c r="D180" s="3" t="n">
        <v>11</v>
      </c>
      <c r="E180" s="3" t="n">
        <v>30</v>
      </c>
      <c r="F180" s="10" t="n">
        <f aca="false">Annual_Data!$C$14*U180</f>
        <v>1.3603488738332</v>
      </c>
      <c r="G180" s="11" t="n">
        <f aca="false">Annual_Data!$D$14*V180</f>
        <v>0.07550587003</v>
      </c>
      <c r="H180" s="12" t="n">
        <f aca="false">Annual_Data!$E$13+(Annual_Data!$E$14-Annual_Data!$E$13)*D180/12</f>
        <v>9.88333333333333</v>
      </c>
      <c r="I180" s="13" t="n">
        <f aca="false">Annual_Data!$F$14*Y180</f>
        <v>1875.60619185089</v>
      </c>
      <c r="J180" s="13" t="n">
        <f aca="false">Annual_Data!$H$14*W180</f>
        <v>4021.70290646535</v>
      </c>
      <c r="K180" s="13" t="n">
        <f aca="false">Annual_Data!$I$14*X180</f>
        <v>4976.70547382296</v>
      </c>
      <c r="L180" s="12" t="n">
        <f aca="false">K180*0.0036</f>
        <v>17.9161397057627</v>
      </c>
      <c r="M180" s="14" t="n">
        <f aca="false">K180/(I180*E180/1000)</f>
        <v>88.4461691273591</v>
      </c>
      <c r="N180" s="10" t="n">
        <f aca="false">LN(F180)</f>
        <v>0.307741191728433</v>
      </c>
      <c r="O180" s="10" t="n">
        <f aca="false">LN(G180)</f>
        <v>-2.58354487700771</v>
      </c>
      <c r="P180" s="10" t="n">
        <f aca="false">LN(I180)</f>
        <v>7.53668718847405</v>
      </c>
      <c r="Q180" s="10" t="n">
        <f aca="false">LN(J180)</f>
        <v>8.29946070048976</v>
      </c>
      <c r="R180" s="10" t="n">
        <f aca="false">LN(M180)</f>
        <v>4.48239410850175</v>
      </c>
      <c r="S180" s="3" t="n">
        <v>0</v>
      </c>
      <c r="T180" s="3" t="s">
        <v>47</v>
      </c>
      <c r="U180" s="15" t="n">
        <v>0.082948102063</v>
      </c>
      <c r="V180" s="15" t="n">
        <v>0.07550587003</v>
      </c>
      <c r="W180" s="15" t="n">
        <v>0.071635754733</v>
      </c>
      <c r="X180" s="15" t="n">
        <v>0.082834645037</v>
      </c>
      <c r="Y180" s="15" t="n">
        <v>0.995016547401</v>
      </c>
    </row>
    <row r="181" customFormat="false" ht="15" hidden="false" customHeight="true" outlineLevel="0" collapsed="false">
      <c r="A181" s="3" t="s">
        <v>19</v>
      </c>
      <c r="B181" s="9" t="n">
        <v>45261</v>
      </c>
      <c r="C181" s="3" t="n">
        <v>2023</v>
      </c>
      <c r="D181" s="3" t="n">
        <v>12</v>
      </c>
      <c r="E181" s="3" t="n">
        <v>31</v>
      </c>
      <c r="F181" s="10" t="n">
        <f aca="false">Annual_Data!$C$14*U181</f>
        <v>1.4175124684564</v>
      </c>
      <c r="G181" s="11" t="n">
        <f aca="false">Annual_Data!$D$14*V181</f>
        <v>0.079604052685</v>
      </c>
      <c r="H181" s="12" t="n">
        <f aca="false">Annual_Data!$E$13+(Annual_Data!$E$14-Annual_Data!$E$13)*D181/12</f>
        <v>9.9</v>
      </c>
      <c r="I181" s="13" t="n">
        <f aca="false">Annual_Data!$F$14*Y181</f>
        <v>1865.2386773854</v>
      </c>
      <c r="J181" s="13" t="n">
        <f aca="false">Annual_Data!$H$14*W181</f>
        <v>4238.82511908735</v>
      </c>
      <c r="K181" s="13" t="n">
        <f aca="false">Annual_Data!$I$14*X181</f>
        <v>5197.5238499612</v>
      </c>
      <c r="L181" s="12" t="n">
        <f aca="false">K181*0.0036</f>
        <v>18.7110858598603</v>
      </c>
      <c r="M181" s="14" t="n">
        <f aca="false">K181/(I181*E181/1000)</f>
        <v>89.8877241336152</v>
      </c>
      <c r="N181" s="10" t="n">
        <f aca="false">LN(F181)</f>
        <v>0.348903552670256</v>
      </c>
      <c r="O181" s="10" t="n">
        <f aca="false">LN(G181)</f>
        <v>-2.53069027429969</v>
      </c>
      <c r="P181" s="10" t="n">
        <f aca="false">LN(I181)</f>
        <v>7.53114430103989</v>
      </c>
      <c r="Q181" s="10" t="n">
        <f aca="false">LN(J181)</f>
        <v>8.35204141527334</v>
      </c>
      <c r="R181" s="10" t="n">
        <f aca="false">LN(M181)</f>
        <v>4.49856138191587</v>
      </c>
      <c r="S181" s="3" t="n">
        <v>0</v>
      </c>
      <c r="T181" s="3" t="s">
        <v>47</v>
      </c>
      <c r="U181" s="15" t="n">
        <v>0.086433687101</v>
      </c>
      <c r="V181" s="15" t="n">
        <v>0.079604052685</v>
      </c>
      <c r="W181" s="15" t="n">
        <v>0.075503199428</v>
      </c>
      <c r="X181" s="15" t="n">
        <v>0.086510050765</v>
      </c>
      <c r="Y181" s="15" t="n">
        <v>0.989516539727</v>
      </c>
    </row>
    <row r="182" customFormat="false" ht="15" hidden="false" customHeight="true" outlineLevel="0" collapsed="false">
      <c r="A182" s="3" t="s">
        <v>19</v>
      </c>
      <c r="B182" s="9" t="n">
        <v>45292</v>
      </c>
      <c r="C182" s="3" t="n">
        <v>2024</v>
      </c>
      <c r="D182" s="3" t="n">
        <v>1</v>
      </c>
      <c r="E182" s="3" t="n">
        <v>31</v>
      </c>
      <c r="F182" s="10" t="n">
        <f aca="false">Annual_Data!$C$15*U182</f>
        <v>1.385486850665</v>
      </c>
      <c r="G182" s="11" t="n">
        <f aca="false">Annual_Data!$D$15*V182</f>
        <v>0.08250902612025</v>
      </c>
      <c r="H182" s="12" t="n">
        <f aca="false">Annual_Data!$E$14+(Annual_Data!$E$15-Annual_Data!$E$14)*D182/12</f>
        <v>10.0583333333333</v>
      </c>
      <c r="I182" s="13" t="n">
        <f aca="false">Annual_Data!$F$15*Y182</f>
        <v>1869.51963971656</v>
      </c>
      <c r="J182" s="13" t="n">
        <f aca="false">Annual_Data!$H$15*W182</f>
        <v>4219.21867715737</v>
      </c>
      <c r="K182" s="13" t="n">
        <f aca="false">Annual_Data!$I$15*X182</f>
        <v>5197.23645155362</v>
      </c>
      <c r="L182" s="12" t="n">
        <f aca="false">K182*0.0036</f>
        <v>18.710051225593</v>
      </c>
      <c r="M182" s="14" t="n">
        <f aca="false">K182/(I182*E182/1000)</f>
        <v>89.6769336882772</v>
      </c>
      <c r="N182" s="10" t="n">
        <f aca="false">LN(F182)</f>
        <v>0.326051594597404</v>
      </c>
      <c r="O182" s="10" t="n">
        <f aca="false">LN(G182)</f>
        <v>-2.49484758410789</v>
      </c>
      <c r="P182" s="10" t="n">
        <f aca="false">LN(I182)</f>
        <v>7.53343679969313</v>
      </c>
      <c r="Q182" s="10" t="n">
        <f aca="false">LN(J182)</f>
        <v>8.34740524229509</v>
      </c>
      <c r="R182" s="10" t="n">
        <f aca="false">LN(M182)</f>
        <v>4.49621358647861</v>
      </c>
      <c r="S182" s="3" t="n">
        <v>0</v>
      </c>
      <c r="T182" s="3" t="s">
        <v>47</v>
      </c>
      <c r="U182" s="15" t="n">
        <v>0.08938624843</v>
      </c>
      <c r="V182" s="15" t="n">
        <v>0.088719382925</v>
      </c>
      <c r="W182" s="15" t="n">
        <v>0.077070393226</v>
      </c>
      <c r="X182" s="15" t="n">
        <v>0.085257902058</v>
      </c>
      <c r="Y182" s="15" t="n">
        <v>0.933359780188</v>
      </c>
    </row>
    <row r="183" customFormat="false" ht="15" hidden="false" customHeight="true" outlineLevel="0" collapsed="false">
      <c r="A183" s="3" t="s">
        <v>19</v>
      </c>
      <c r="B183" s="9" t="n">
        <v>45323</v>
      </c>
      <c r="C183" s="3" t="n">
        <v>2024</v>
      </c>
      <c r="D183" s="3" t="n">
        <v>2</v>
      </c>
      <c r="E183" s="3" t="n">
        <v>29</v>
      </c>
      <c r="F183" s="10" t="n">
        <f aca="false">Annual_Data!$C$15*U183</f>
        <v>1.2432891843665</v>
      </c>
      <c r="G183" s="11" t="n">
        <f aca="false">Annual_Data!$D$15*V183</f>
        <v>0.07398096896628</v>
      </c>
      <c r="H183" s="12" t="n">
        <f aca="false">Annual_Data!$E$14+(Annual_Data!$E$15-Annual_Data!$E$14)*D183/12</f>
        <v>10.2166666666667</v>
      </c>
      <c r="I183" s="13" t="n">
        <f aca="false">Annual_Data!$F$15*Y183</f>
        <v>1825.76560802615</v>
      </c>
      <c r="J183" s="13" t="n">
        <f aca="false">Annual_Data!$H$15*W183</f>
        <v>4176.87722344946</v>
      </c>
      <c r="K183" s="13" t="n">
        <f aca="false">Annual_Data!$I$15*X183</f>
        <v>4678.58157700289</v>
      </c>
      <c r="L183" s="12" t="n">
        <f aca="false">K183*0.0036</f>
        <v>16.8428936772104</v>
      </c>
      <c r="M183" s="14" t="n">
        <f aca="false">K183/(I183*E183/1000)</f>
        <v>88.3631494085442</v>
      </c>
      <c r="N183" s="10" t="n">
        <f aca="false">LN(F183)</f>
        <v>0.217760435804758</v>
      </c>
      <c r="O183" s="10" t="n">
        <f aca="false">LN(G183)</f>
        <v>-2.60394739498477</v>
      </c>
      <c r="P183" s="10" t="n">
        <f aca="false">LN(I183)</f>
        <v>7.50975468929356</v>
      </c>
      <c r="Q183" s="10" t="n">
        <f aca="false">LN(J183)</f>
        <v>8.33731917058887</v>
      </c>
      <c r="R183" s="10" t="n">
        <f aca="false">LN(M183)</f>
        <v>4.48145502083823</v>
      </c>
      <c r="S183" s="3" t="n">
        <v>0</v>
      </c>
      <c r="T183" s="3" t="s">
        <v>47</v>
      </c>
      <c r="U183" s="15" t="n">
        <v>0.080212205443</v>
      </c>
      <c r="V183" s="15" t="n">
        <v>0.079549428996</v>
      </c>
      <c r="W183" s="15" t="n">
        <v>0.076296962708</v>
      </c>
      <c r="X183" s="15" t="n">
        <v>0.076749644466</v>
      </c>
      <c r="Y183" s="15" t="n">
        <v>0.911515530717</v>
      </c>
    </row>
    <row r="184" customFormat="false" ht="15" hidden="false" customHeight="true" outlineLevel="0" collapsed="false">
      <c r="A184" s="3" t="s">
        <v>19</v>
      </c>
      <c r="B184" s="9" t="n">
        <v>45352</v>
      </c>
      <c r="C184" s="3" t="n">
        <v>2024</v>
      </c>
      <c r="D184" s="3" t="n">
        <v>3</v>
      </c>
      <c r="E184" s="3" t="n">
        <v>31</v>
      </c>
      <c r="F184" s="10" t="n">
        <f aca="false">Annual_Data!$C$15*U184</f>
        <v>1.301125168468</v>
      </c>
      <c r="G184" s="11" t="n">
        <f aca="false">Annual_Data!$D$15*V184</f>
        <v>0.07365896678184</v>
      </c>
      <c r="H184" s="12" t="n">
        <f aca="false">Annual_Data!$E$14+(Annual_Data!$E$15-Annual_Data!$E$14)*D184/12</f>
        <v>10.375</v>
      </c>
      <c r="I184" s="13" t="n">
        <f aca="false">Annual_Data!$F$15*Y184</f>
        <v>1852.30231418122</v>
      </c>
      <c r="J184" s="13" t="n">
        <f aca="false">Annual_Data!$H$15*W184</f>
        <v>4333.35604097432</v>
      </c>
      <c r="K184" s="13" t="n">
        <f aca="false">Annual_Data!$I$15*X184</f>
        <v>4996.09862538973</v>
      </c>
      <c r="L184" s="12" t="n">
        <f aca="false">K184*0.0036</f>
        <v>17.985955051403</v>
      </c>
      <c r="M184" s="14" t="n">
        <f aca="false">K184/(I184*E184/1000)</f>
        <v>87.007650183715</v>
      </c>
      <c r="N184" s="10" t="n">
        <f aca="false">LN(F184)</f>
        <v>0.263229404332207</v>
      </c>
      <c r="O184" s="10" t="n">
        <f aca="false">LN(G184)</f>
        <v>-2.60830939491888</v>
      </c>
      <c r="P184" s="10" t="n">
        <f aca="false">LN(I184)</f>
        <v>7.52418463848341</v>
      </c>
      <c r="Q184" s="10" t="n">
        <f aca="false">LN(J184)</f>
        <v>8.37409758798668</v>
      </c>
      <c r="R184" s="10" t="n">
        <f aca="false">LN(M184)</f>
        <v>4.46599604793484</v>
      </c>
      <c r="S184" s="3" t="n">
        <v>0</v>
      </c>
      <c r="T184" s="3" t="s">
        <v>47</v>
      </c>
      <c r="U184" s="15" t="n">
        <v>0.083943559256</v>
      </c>
      <c r="V184" s="15" t="n">
        <v>0.079203190088</v>
      </c>
      <c r="W184" s="15" t="n">
        <v>0.079155284336</v>
      </c>
      <c r="X184" s="15" t="n">
        <v>0.081958342909</v>
      </c>
      <c r="Y184" s="15" t="n">
        <v>0.924764011074</v>
      </c>
    </row>
    <row r="185" customFormat="false" ht="15" hidden="false" customHeight="true" outlineLevel="0" collapsed="false">
      <c r="A185" s="3" t="s">
        <v>19</v>
      </c>
      <c r="B185" s="9" t="n">
        <v>45383</v>
      </c>
      <c r="C185" s="3" t="n">
        <v>2024</v>
      </c>
      <c r="D185" s="3" t="n">
        <v>4</v>
      </c>
      <c r="E185" s="3" t="n">
        <v>30</v>
      </c>
      <c r="F185" s="10" t="n">
        <f aca="false">Annual_Data!$C$15*U185</f>
        <v>1.2228054983515</v>
      </c>
      <c r="G185" s="11" t="n">
        <f aca="false">Annual_Data!$D$15*V185</f>
        <v>0.06890530198359</v>
      </c>
      <c r="H185" s="12" t="n">
        <f aca="false">Annual_Data!$E$14+(Annual_Data!$E$15-Annual_Data!$E$14)*D185/12</f>
        <v>10.5333333333333</v>
      </c>
      <c r="I185" s="13" t="n">
        <f aca="false">Annual_Data!$F$15*Y185</f>
        <v>1879.23672546849</v>
      </c>
      <c r="J185" s="13" t="n">
        <f aca="false">Annual_Data!$H$15*W185</f>
        <v>4323.35226152018</v>
      </c>
      <c r="K185" s="13" t="n">
        <f aca="false">Annual_Data!$I$15*X185</f>
        <v>4724.09606627053</v>
      </c>
      <c r="L185" s="12" t="n">
        <f aca="false">K185*0.0036</f>
        <v>17.0067458385739</v>
      </c>
      <c r="M185" s="14" t="n">
        <f aca="false">K185/(I185*E185/1000)</f>
        <v>83.7945889102539</v>
      </c>
      <c r="N185" s="10" t="n">
        <f aca="false">LN(F185)</f>
        <v>0.20114780755003</v>
      </c>
      <c r="O185" s="10" t="n">
        <f aca="false">LN(G185)</f>
        <v>-2.67502215205684</v>
      </c>
      <c r="P185" s="10" t="n">
        <f aca="false">LN(I185)</f>
        <v>7.53862097629364</v>
      </c>
      <c r="Q185" s="10" t="n">
        <f aca="false">LN(J185)</f>
        <v>8.37178636677933</v>
      </c>
      <c r="R185" s="10" t="n">
        <f aca="false">LN(M185)</f>
        <v>4.42836843392653</v>
      </c>
      <c r="S185" s="3" t="n">
        <v>0</v>
      </c>
      <c r="T185" s="3" t="s">
        <v>47</v>
      </c>
      <c r="U185" s="15" t="n">
        <v>0.078890677313</v>
      </c>
      <c r="V185" s="15" t="n">
        <v>0.074091722563</v>
      </c>
      <c r="W185" s="15" t="n">
        <v>0.078972550215</v>
      </c>
      <c r="X185" s="15" t="n">
        <v>0.077496285475</v>
      </c>
      <c r="Y185" s="15" t="n">
        <v>0.938211046165</v>
      </c>
    </row>
    <row r="186" customFormat="false" ht="15" hidden="false" customHeight="true" outlineLevel="0" collapsed="false">
      <c r="A186" s="3" t="s">
        <v>19</v>
      </c>
      <c r="B186" s="9" t="n">
        <v>45413</v>
      </c>
      <c r="C186" s="3" t="n">
        <v>2024</v>
      </c>
      <c r="D186" s="3" t="n">
        <v>5</v>
      </c>
      <c r="E186" s="3" t="n">
        <v>31</v>
      </c>
      <c r="F186" s="10" t="n">
        <f aca="false">Annual_Data!$C$15*U186</f>
        <v>1.2476794692495</v>
      </c>
      <c r="G186" s="11" t="n">
        <f aca="false">Annual_Data!$D$15*V186</f>
        <v>0.07522083047874</v>
      </c>
      <c r="H186" s="12" t="n">
        <f aca="false">Annual_Data!$E$14+(Annual_Data!$E$15-Annual_Data!$E$14)*D186/12</f>
        <v>10.6916666666667</v>
      </c>
      <c r="I186" s="13" t="n">
        <f aca="false">Annual_Data!$F$15*Y186</f>
        <v>1905.58278778812</v>
      </c>
      <c r="J186" s="13" t="n">
        <f aca="false">Annual_Data!$H$15*W186</f>
        <v>4661.92998163791</v>
      </c>
      <c r="K186" s="13" t="n">
        <f aca="false">Annual_Data!$I$15*X186</f>
        <v>4928.89980326334</v>
      </c>
      <c r="L186" s="12" t="n">
        <f aca="false">K186*0.0036</f>
        <v>17.744039291748</v>
      </c>
      <c r="M186" s="14" t="n">
        <f aca="false">K186/(I186*E186/1000)</f>
        <v>83.4373446622899</v>
      </c>
      <c r="N186" s="10" t="n">
        <f aca="false">LN(F186)</f>
        <v>0.221285401422081</v>
      </c>
      <c r="O186" s="10" t="n">
        <f aca="false">LN(G186)</f>
        <v>-2.58732708533698</v>
      </c>
      <c r="P186" s="10" t="n">
        <f aca="false">LN(I186)</f>
        <v>7.55254316612328</v>
      </c>
      <c r="Q186" s="10" t="n">
        <f aca="false">LN(J186)</f>
        <v>8.44718480052923</v>
      </c>
      <c r="R186" s="10" t="n">
        <f aca="false">LN(M186)</f>
        <v>4.42409598686747</v>
      </c>
      <c r="S186" s="3" t="n">
        <v>0</v>
      </c>
      <c r="T186" s="3" t="s">
        <v>47</v>
      </c>
      <c r="U186" s="15" t="n">
        <v>0.080495449629</v>
      </c>
      <c r="V186" s="15" t="n">
        <v>0.080882613418</v>
      </c>
      <c r="W186" s="15" t="n">
        <v>0.085157182969</v>
      </c>
      <c r="X186" s="15" t="n">
        <v>0.080855981943</v>
      </c>
      <c r="Y186" s="15" t="n">
        <v>0.951364347373</v>
      </c>
    </row>
    <row r="187" customFormat="false" ht="15" hidden="false" customHeight="true" outlineLevel="0" collapsed="false">
      <c r="A187" s="3" t="s">
        <v>19</v>
      </c>
      <c r="B187" s="9" t="n">
        <v>45444</v>
      </c>
      <c r="C187" s="3" t="n">
        <v>2024</v>
      </c>
      <c r="D187" s="3" t="n">
        <v>6</v>
      </c>
      <c r="E187" s="3" t="n">
        <v>30</v>
      </c>
      <c r="F187" s="10" t="n">
        <f aca="false">Annual_Data!$C$15*U187</f>
        <v>1.2118390755265</v>
      </c>
      <c r="G187" s="11" t="n">
        <f aca="false">Annual_Data!$D$15*V187</f>
        <v>0.07176976723332</v>
      </c>
      <c r="H187" s="12" t="n">
        <f aca="false">Annual_Data!$E$14+(Annual_Data!$E$15-Annual_Data!$E$14)*D187/12</f>
        <v>10.85</v>
      </c>
      <c r="I187" s="13" t="n">
        <f aca="false">Annual_Data!$F$15*Y187</f>
        <v>1903.88121025463</v>
      </c>
      <c r="J187" s="13" t="n">
        <f aca="false">Annual_Data!$H$15*W187</f>
        <v>4443.37751495995</v>
      </c>
      <c r="K187" s="13" t="n">
        <f aca="false">Annual_Data!$I$15*X187</f>
        <v>4765.65284421735</v>
      </c>
      <c r="L187" s="12" t="n">
        <f aca="false">K187*0.0036</f>
        <v>17.1563502391824</v>
      </c>
      <c r="M187" s="14" t="n">
        <f aca="false">K187/(I187*E187/1000)</f>
        <v>83.437503323014</v>
      </c>
      <c r="N187" s="10" t="n">
        <f aca="false">LN(F187)</f>
        <v>0.192139102863379</v>
      </c>
      <c r="O187" s="10" t="n">
        <f aca="false">LN(G187)</f>
        <v>-2.63429196077629</v>
      </c>
      <c r="P187" s="10" t="n">
        <f aca="false">LN(I187)</f>
        <v>7.55164982383286</v>
      </c>
      <c r="Q187" s="10" t="n">
        <f aca="false">LN(J187)</f>
        <v>8.39917006780704</v>
      </c>
      <c r="R187" s="10" t="n">
        <f aca="false">LN(M187)</f>
        <v>4.42409788842095</v>
      </c>
      <c r="S187" s="3" t="n">
        <v>0</v>
      </c>
      <c r="T187" s="3" t="s">
        <v>47</v>
      </c>
      <c r="U187" s="15" t="n">
        <v>0.078183166163</v>
      </c>
      <c r="V187" s="15" t="n">
        <v>0.077171792724</v>
      </c>
      <c r="W187" s="15" t="n">
        <v>0.08116499251</v>
      </c>
      <c r="X187" s="15" t="n">
        <v>0.078178002333</v>
      </c>
      <c r="Y187" s="15" t="n">
        <v>0.950514832878</v>
      </c>
    </row>
    <row r="188" customFormat="false" ht="15" hidden="false" customHeight="true" outlineLevel="0" collapsed="false">
      <c r="A188" s="3" t="s">
        <v>19</v>
      </c>
      <c r="B188" s="9" t="n">
        <v>45474</v>
      </c>
      <c r="C188" s="3" t="n">
        <v>2024</v>
      </c>
      <c r="D188" s="3" t="n">
        <v>7</v>
      </c>
      <c r="E188" s="3" t="n">
        <v>31</v>
      </c>
      <c r="F188" s="10" t="n">
        <f aca="false">Annual_Data!$C$15*U188</f>
        <v>1.306807862416</v>
      </c>
      <c r="G188" s="11" t="n">
        <f aca="false">Annual_Data!$D$15*V188</f>
        <v>0.07986721470105</v>
      </c>
      <c r="H188" s="12" t="n">
        <f aca="false">Annual_Data!$E$14+(Annual_Data!$E$15-Annual_Data!$E$14)*D188/12</f>
        <v>11.0083333333333</v>
      </c>
      <c r="I188" s="13" t="n">
        <f aca="false">Annual_Data!$F$15*Y188</f>
        <v>1985.79009799327</v>
      </c>
      <c r="J188" s="13" t="n">
        <f aca="false">Annual_Data!$H$15*W188</f>
        <v>4785.60289130722</v>
      </c>
      <c r="K188" s="13" t="n">
        <f aca="false">Annual_Data!$I$15*X188</f>
        <v>5170.94525358099</v>
      </c>
      <c r="L188" s="12" t="n">
        <f aca="false">K188*0.0036</f>
        <v>18.6154029128916</v>
      </c>
      <c r="M188" s="14" t="n">
        <f aca="false">K188/(I188*E188/1000)</f>
        <v>83.999152663693</v>
      </c>
      <c r="N188" s="10" t="n">
        <f aca="false">LN(F188)</f>
        <v>0.267587417267848</v>
      </c>
      <c r="O188" s="10" t="n">
        <f aca="false">LN(G188)</f>
        <v>-2.52738983956626</v>
      </c>
      <c r="P188" s="10" t="n">
        <f aca="false">LN(I188)</f>
        <v>7.59377214818021</v>
      </c>
      <c r="Q188" s="10" t="n">
        <f aca="false">LN(J188)</f>
        <v>8.47336729204368</v>
      </c>
      <c r="R188" s="10" t="n">
        <f aca="false">LN(M188)</f>
        <v>4.43080671145545</v>
      </c>
      <c r="S188" s="3" t="n">
        <v>0</v>
      </c>
      <c r="T188" s="3" t="s">
        <v>47</v>
      </c>
      <c r="U188" s="15" t="n">
        <v>0.084310184672</v>
      </c>
      <c r="V188" s="15" t="n">
        <v>0.085878725485</v>
      </c>
      <c r="W188" s="15" t="n">
        <v>0.087416255207</v>
      </c>
      <c r="X188" s="15" t="n">
        <v>0.084826608927</v>
      </c>
      <c r="Y188" s="15" t="n">
        <v>0.991407937091</v>
      </c>
    </row>
    <row r="189" customFormat="false" ht="15" hidden="false" customHeight="true" outlineLevel="0" collapsed="false">
      <c r="A189" s="3" t="s">
        <v>19</v>
      </c>
      <c r="B189" s="9" t="n">
        <v>45505</v>
      </c>
      <c r="C189" s="3" t="n">
        <v>2024</v>
      </c>
      <c r="D189" s="3" t="n">
        <v>8</v>
      </c>
      <c r="E189" s="3" t="n">
        <v>31</v>
      </c>
      <c r="F189" s="10" t="n">
        <f aca="false">Annual_Data!$C$15*U189</f>
        <v>1.3044923875225</v>
      </c>
      <c r="G189" s="11" t="n">
        <f aca="false">Annual_Data!$D$15*V189</f>
        <v>0.08259169721475</v>
      </c>
      <c r="H189" s="12" t="n">
        <f aca="false">Annual_Data!$E$14+(Annual_Data!$E$15-Annual_Data!$E$14)*D189/12</f>
        <v>11.1666666666667</v>
      </c>
      <c r="I189" s="13" t="n">
        <f aca="false">Annual_Data!$F$15*Y189</f>
        <v>2057.97685278853</v>
      </c>
      <c r="J189" s="13" t="n">
        <f aca="false">Annual_Data!$H$15*W189</f>
        <v>4801.00532216606</v>
      </c>
      <c r="K189" s="13" t="n">
        <f aca="false">Annual_Data!$I$15*X189</f>
        <v>5259.98671860148</v>
      </c>
      <c r="L189" s="12" t="n">
        <f aca="false">K189*0.0036</f>
        <v>18.9359521869653</v>
      </c>
      <c r="M189" s="14" t="n">
        <f aca="false">K189/(I189*E189/1000)</f>
        <v>82.4484447882483</v>
      </c>
      <c r="N189" s="10" t="n">
        <f aca="false">LN(F189)</f>
        <v>0.265813990025683</v>
      </c>
      <c r="O189" s="10" t="n">
        <f aca="false">LN(G189)</f>
        <v>-2.49384612148871</v>
      </c>
      <c r="P189" s="10" t="n">
        <f aca="false">LN(I189)</f>
        <v>7.62947866890049</v>
      </c>
      <c r="Q189" s="10" t="n">
        <f aca="false">LN(J189)</f>
        <v>8.47658061708397</v>
      </c>
      <c r="R189" s="10" t="n">
        <f aca="false">LN(M189)</f>
        <v>4.41217318634437</v>
      </c>
      <c r="S189" s="3" t="n">
        <v>0</v>
      </c>
      <c r="T189" s="3" t="s">
        <v>47</v>
      </c>
      <c r="U189" s="15" t="n">
        <v>0.084160799195</v>
      </c>
      <c r="V189" s="15" t="n">
        <v>0.088808276575</v>
      </c>
      <c r="W189" s="15" t="n">
        <v>0.087697603839</v>
      </c>
      <c r="X189" s="15" t="n">
        <v>0.086287286842</v>
      </c>
      <c r="Y189" s="15" t="n">
        <v>1.027447255511</v>
      </c>
    </row>
    <row r="190" customFormat="false" ht="15" hidden="false" customHeight="true" outlineLevel="0" collapsed="false">
      <c r="A190" s="3" t="s">
        <v>19</v>
      </c>
      <c r="B190" s="9" t="n">
        <v>45536</v>
      </c>
      <c r="C190" s="3" t="n">
        <v>2024</v>
      </c>
      <c r="D190" s="3" t="n">
        <v>9</v>
      </c>
      <c r="E190" s="3" t="n">
        <v>30</v>
      </c>
      <c r="F190" s="10" t="n">
        <f aca="false">Annual_Data!$C$15*U190</f>
        <v>1.243315984998</v>
      </c>
      <c r="G190" s="11" t="n">
        <f aca="false">Annual_Data!$D$15*V190</f>
        <v>0.07709308034295</v>
      </c>
      <c r="H190" s="12" t="n">
        <f aca="false">Annual_Data!$E$14+(Annual_Data!$E$15-Annual_Data!$E$14)*D190/12</f>
        <v>11.325</v>
      </c>
      <c r="I190" s="13" t="n">
        <f aca="false">Annual_Data!$F$15*Y190</f>
        <v>2081.60901092502</v>
      </c>
      <c r="J190" s="13" t="n">
        <f aca="false">Annual_Data!$H$15*W190</f>
        <v>4681.57191183</v>
      </c>
      <c r="K190" s="13" t="n">
        <f aca="false">Annual_Data!$I$15*X190</f>
        <v>4990.42613099823</v>
      </c>
      <c r="L190" s="12" t="n">
        <f aca="false">K190*0.0036</f>
        <v>17.9655340715936</v>
      </c>
      <c r="M190" s="14" t="n">
        <f aca="false">K190/(I190*E190/1000)</f>
        <v>79.9129600356696</v>
      </c>
      <c r="N190" s="10" t="n">
        <f aca="false">LN(F190)</f>
        <v>0.217781991805551</v>
      </c>
      <c r="O190" s="10" t="n">
        <f aca="false">LN(G190)</f>
        <v>-2.56274175155922</v>
      </c>
      <c r="P190" s="10" t="n">
        <f aca="false">LN(I190)</f>
        <v>7.64089643659448</v>
      </c>
      <c r="Q190" s="10" t="n">
        <f aca="false">LN(J190)</f>
        <v>8.45138921111326</v>
      </c>
      <c r="R190" s="10" t="n">
        <f aca="false">LN(M190)</f>
        <v>4.38093804281858</v>
      </c>
      <c r="S190" s="3" t="n">
        <v>0</v>
      </c>
      <c r="T190" s="3" t="s">
        <v>47</v>
      </c>
      <c r="U190" s="15" t="n">
        <v>0.080213934516</v>
      </c>
      <c r="V190" s="15" t="n">
        <v>0.082895785315</v>
      </c>
      <c r="W190" s="15" t="n">
        <v>0.085515972451</v>
      </c>
      <c r="X190" s="15" t="n">
        <v>0.081865288653</v>
      </c>
      <c r="Y190" s="15" t="n">
        <v>1.039245637007</v>
      </c>
    </row>
    <row r="191" customFormat="false" ht="15" hidden="false" customHeight="true" outlineLevel="0" collapsed="false">
      <c r="A191" s="3" t="s">
        <v>19</v>
      </c>
      <c r="B191" s="9" t="n">
        <v>45566</v>
      </c>
      <c r="C191" s="3" t="n">
        <v>2024</v>
      </c>
      <c r="D191" s="3" t="n">
        <v>10</v>
      </c>
      <c r="E191" s="3" t="n">
        <v>31</v>
      </c>
      <c r="F191" s="10" t="n">
        <f aca="false">Annual_Data!$C$15*U191</f>
        <v>1.295367743502</v>
      </c>
      <c r="G191" s="11" t="n">
        <f aca="false">Annual_Data!$D$15*V191</f>
        <v>0.07981206000573</v>
      </c>
      <c r="H191" s="12" t="n">
        <f aca="false">Annual_Data!$E$14+(Annual_Data!$E$15-Annual_Data!$E$14)*D191/12</f>
        <v>11.4833333333333</v>
      </c>
      <c r="I191" s="13" t="n">
        <f aca="false">Annual_Data!$F$15*Y191</f>
        <v>2172.44585699534</v>
      </c>
      <c r="J191" s="13" t="n">
        <f aca="false">Annual_Data!$H$15*W191</f>
        <v>4799.73362598055</v>
      </c>
      <c r="K191" s="13" t="n">
        <f aca="false">Annual_Data!$I$15*X191</f>
        <v>5240.3182279411</v>
      </c>
      <c r="L191" s="12" t="n">
        <f aca="false">K191*0.0036</f>
        <v>18.8651456205879</v>
      </c>
      <c r="M191" s="14" t="n">
        <f aca="false">K191/(I191*E191/1000)</f>
        <v>77.8120766221395</v>
      </c>
      <c r="N191" s="10" t="n">
        <f aca="false">LN(F191)</f>
        <v>0.258794626655353</v>
      </c>
      <c r="O191" s="10" t="n">
        <f aca="false">LN(G191)</f>
        <v>-2.52808065805369</v>
      </c>
      <c r="P191" s="10" t="n">
        <f aca="false">LN(I191)</f>
        <v>7.68360893484756</v>
      </c>
      <c r="Q191" s="10" t="n">
        <f aca="false">LN(J191)</f>
        <v>8.47631570076872</v>
      </c>
      <c r="R191" s="10" t="n">
        <f aca="false">LN(M191)</f>
        <v>4.35429664564361</v>
      </c>
      <c r="S191" s="3" t="n">
        <v>0</v>
      </c>
      <c r="T191" s="3" t="s">
        <v>47</v>
      </c>
      <c r="U191" s="15" t="n">
        <v>0.083572112484</v>
      </c>
      <c r="V191" s="15" t="n">
        <v>0.085819419361</v>
      </c>
      <c r="W191" s="15" t="n">
        <v>0.08767437439</v>
      </c>
      <c r="X191" s="15" t="n">
        <v>0.085964635705</v>
      </c>
      <c r="Y191" s="15" t="n">
        <v>1.084596034446</v>
      </c>
    </row>
    <row r="192" customFormat="false" ht="15" hidden="false" customHeight="true" outlineLevel="0" collapsed="false">
      <c r="A192" s="3" t="s">
        <v>19</v>
      </c>
      <c r="B192" s="9" t="n">
        <v>45597</v>
      </c>
      <c r="C192" s="3" t="n">
        <v>2024</v>
      </c>
      <c r="D192" s="3" t="n">
        <v>11</v>
      </c>
      <c r="E192" s="3" t="n">
        <v>30</v>
      </c>
      <c r="F192" s="10" t="n">
        <f aca="false">Annual_Data!$C$15*U192</f>
        <v>1.315996224503</v>
      </c>
      <c r="G192" s="11" t="n">
        <f aca="false">Annual_Data!$D$15*V192</f>
        <v>0.0758218253013</v>
      </c>
      <c r="H192" s="12" t="n">
        <f aca="false">Annual_Data!$E$14+(Annual_Data!$E$15-Annual_Data!$E$14)*D192/12</f>
        <v>11.6416666666667</v>
      </c>
      <c r="I192" s="13" t="n">
        <f aca="false">Annual_Data!$F$15*Y192</f>
        <v>2203.20431089933</v>
      </c>
      <c r="J192" s="13" t="n">
        <f aca="false">Annual_Data!$H$15*W192</f>
        <v>4624.28763343625</v>
      </c>
      <c r="K192" s="13" t="n">
        <f aca="false">Annual_Data!$I$15*X192</f>
        <v>5285.01845852445</v>
      </c>
      <c r="L192" s="12" t="n">
        <f aca="false">K192*0.0036</f>
        <v>19.026066450688</v>
      </c>
      <c r="M192" s="14" t="n">
        <f aca="false">K192/(I192*E192/1000)</f>
        <v>79.9595757321776</v>
      </c>
      <c r="N192" s="10" t="n">
        <f aca="false">LN(F192)</f>
        <v>0.274593963980317</v>
      </c>
      <c r="O192" s="10" t="n">
        <f aca="false">LN(G192)</f>
        <v>-2.57936909504366</v>
      </c>
      <c r="P192" s="10" t="n">
        <f aca="false">LN(I192)</f>
        <v>7.69766808462613</v>
      </c>
      <c r="Q192" s="10" t="n">
        <f aca="false">LN(J192)</f>
        <v>8.43907761288045</v>
      </c>
      <c r="R192" s="10" t="n">
        <f aca="false">LN(M192)</f>
        <v>4.38152120361734</v>
      </c>
      <c r="S192" s="3" t="n">
        <v>0</v>
      </c>
      <c r="T192" s="3" t="s">
        <v>47</v>
      </c>
      <c r="U192" s="15" t="n">
        <v>0.084902982226</v>
      </c>
      <c r="V192" s="15" t="n">
        <v>0.08152884441</v>
      </c>
      <c r="W192" s="15" t="n">
        <v>0.084469588701</v>
      </c>
      <c r="X192" s="15" t="n">
        <v>0.086697919233</v>
      </c>
      <c r="Y192" s="15" t="n">
        <v>1.099952227109</v>
      </c>
    </row>
    <row r="193" customFormat="false" ht="15" hidden="false" customHeight="true" outlineLevel="0" collapsed="false">
      <c r="A193" s="3" t="s">
        <v>19</v>
      </c>
      <c r="B193" s="9" t="n">
        <v>45627</v>
      </c>
      <c r="C193" s="3" t="n">
        <v>2024</v>
      </c>
      <c r="D193" s="3" t="n">
        <v>12</v>
      </c>
      <c r="E193" s="3" t="n">
        <v>31</v>
      </c>
      <c r="F193" s="10" t="n">
        <f aca="false">Annual_Data!$C$15*U193</f>
        <v>1.421794550447</v>
      </c>
      <c r="G193" s="11" t="n">
        <f aca="false">Annual_Data!$D$15*V193</f>
        <v>0.0887692608702</v>
      </c>
      <c r="H193" s="12" t="n">
        <f aca="false">Annual_Data!$E$14+(Annual_Data!$E$15-Annual_Data!$E$14)*D193/12</f>
        <v>11.8</v>
      </c>
      <c r="I193" s="13" t="n">
        <f aca="false">Annual_Data!$F$15*Y193</f>
        <v>2289.05534217674</v>
      </c>
      <c r="J193" s="13" t="n">
        <f aca="false">Annual_Data!$H$15*W193</f>
        <v>4894.68691552602</v>
      </c>
      <c r="K193" s="13" t="n">
        <f aca="false">Annual_Data!$I$15*X193</f>
        <v>5721.73984259535</v>
      </c>
      <c r="L193" s="12" t="n">
        <f aca="false">K193*0.0036</f>
        <v>20.5982634333432</v>
      </c>
      <c r="M193" s="14" t="n">
        <f aca="false">K193/(I193*E193/1000)</f>
        <v>80.632499173843</v>
      </c>
      <c r="N193" s="10" t="n">
        <f aca="false">LN(F193)</f>
        <v>0.351919841651068</v>
      </c>
      <c r="O193" s="10" t="n">
        <f aca="false">LN(G193)</f>
        <v>-2.42171485028331</v>
      </c>
      <c r="P193" s="10" t="n">
        <f aca="false">LN(I193)</f>
        <v>7.73589449710754</v>
      </c>
      <c r="Q193" s="10" t="n">
        <f aca="false">LN(J193)</f>
        <v>8.49590559286311</v>
      </c>
      <c r="R193" s="10" t="n">
        <f aca="false">LN(M193)</f>
        <v>4.3899017837994</v>
      </c>
      <c r="S193" s="3" t="n">
        <v>0</v>
      </c>
      <c r="T193" s="3" t="s">
        <v>47</v>
      </c>
      <c r="U193" s="15" t="n">
        <v>0.091728680674</v>
      </c>
      <c r="V193" s="15" t="n">
        <v>0.09545081814</v>
      </c>
      <c r="W193" s="15" t="n">
        <v>0.089408839447</v>
      </c>
      <c r="X193" s="15" t="n">
        <v>0.093862101455</v>
      </c>
      <c r="Y193" s="15" t="n">
        <v>1.142813450912</v>
      </c>
    </row>
    <row r="194" customFormat="false" ht="15" hidden="false" customHeight="true" outlineLevel="0" collapsed="false">
      <c r="A194" s="3" t="s">
        <v>19</v>
      </c>
      <c r="B194" s="9" t="n">
        <v>45658</v>
      </c>
      <c r="C194" s="3" t="n">
        <v>2025</v>
      </c>
      <c r="D194" s="3" t="n">
        <v>1</v>
      </c>
      <c r="E194" s="3" t="n">
        <v>31</v>
      </c>
      <c r="F194" s="10" t="n">
        <f aca="false">Annual_Data!$C$16*U194</f>
        <v>1.4436331177896</v>
      </c>
      <c r="G194" s="11" t="n">
        <f aca="false">Annual_Data!$D$16*V194</f>
        <v>0.09265588192648</v>
      </c>
      <c r="H194" s="12" t="n">
        <f aca="false">Annual_Data!$E$15+(Annual_Data!$E$16-Annual_Data!$E$15)*D194/12</f>
        <v>11.8166666666667</v>
      </c>
      <c r="I194" s="13" t="n">
        <f aca="false">Annual_Data!$F$16*Y194</f>
        <v>2424.1006804991</v>
      </c>
      <c r="J194" s="13" t="n">
        <f aca="false">Annual_Data!$H$16*W194</f>
        <v>4990.87038038918</v>
      </c>
      <c r="K194" s="13" t="n">
        <f aca="false">Annual_Data!$I$16*X194</f>
        <v>5868.80849989227</v>
      </c>
      <c r="L194" s="12" t="n">
        <f aca="false">K194*0.0036</f>
        <v>21.1277105996122</v>
      </c>
      <c r="M194" s="14" t="n">
        <f aca="false">K194/(I194*E194/1000)</f>
        <v>78.0975826397411</v>
      </c>
      <c r="N194" s="10" t="n">
        <f aca="false">LN(F194)</f>
        <v>0.367162934635573</v>
      </c>
      <c r="O194" s="10" t="n">
        <f aca="false">LN(G194)</f>
        <v>-2.37886284282088</v>
      </c>
      <c r="P194" s="10" t="n">
        <f aca="false">LN(I194)</f>
        <v>7.79321588118602</v>
      </c>
      <c r="Q194" s="10" t="n">
        <f aca="false">LN(J194)</f>
        <v>8.515365598463</v>
      </c>
      <c r="R194" s="10" t="n">
        <f aca="false">LN(M194)</f>
        <v>4.35795910425062</v>
      </c>
      <c r="S194" s="3" t="n">
        <v>1</v>
      </c>
      <c r="T194" s="3" t="s">
        <v>47</v>
      </c>
      <c r="U194" s="15" t="n">
        <v>0.078458321619</v>
      </c>
      <c r="V194" s="15" t="n">
        <v>0.078521933836</v>
      </c>
      <c r="W194" s="15" t="n">
        <v>0.084671389461</v>
      </c>
      <c r="X194" s="15" t="n">
        <v>0.080746381496</v>
      </c>
      <c r="Y194" s="15" t="n">
        <v>0.884062976112</v>
      </c>
    </row>
    <row r="195" customFormat="false" ht="15" hidden="false" customHeight="true" outlineLevel="0" collapsed="false">
      <c r="A195" s="3" t="s">
        <v>19</v>
      </c>
      <c r="B195" s="9" t="n">
        <v>45689</v>
      </c>
      <c r="C195" s="3" t="n">
        <v>2025</v>
      </c>
      <c r="D195" s="3" t="n">
        <v>2</v>
      </c>
      <c r="E195" s="3" t="n">
        <v>28</v>
      </c>
      <c r="F195" s="10" t="n">
        <f aca="false">Annual_Data!$C$16*U195</f>
        <v>1.329277796492</v>
      </c>
      <c r="G195" s="11" t="n">
        <f aca="false">Annual_Data!$D$16*V195</f>
        <v>0.08467491732416</v>
      </c>
      <c r="H195" s="12" t="n">
        <f aca="false">Annual_Data!$E$15+(Annual_Data!$E$16-Annual_Data!$E$15)*D195/12</f>
        <v>11.8333333333333</v>
      </c>
      <c r="I195" s="13" t="n">
        <f aca="false">Annual_Data!$F$16*Y195</f>
        <v>2519.54373585392</v>
      </c>
      <c r="J195" s="13" t="n">
        <f aca="false">Annual_Data!$H$16*W195</f>
        <v>4558.31378168794</v>
      </c>
      <c r="K195" s="13" t="n">
        <f aca="false">Annual_Data!$I$16*X195</f>
        <v>5324.40554385972</v>
      </c>
      <c r="L195" s="12" t="n">
        <f aca="false">K195*0.0036</f>
        <v>19.167859957895</v>
      </c>
      <c r="M195" s="14" t="n">
        <f aca="false">K195/(I195*E195/1000)</f>
        <v>75.4729271598394</v>
      </c>
      <c r="N195" s="10" t="n">
        <f aca="false">LN(F195)</f>
        <v>0.284635784593864</v>
      </c>
      <c r="O195" s="10" t="n">
        <f aca="false">LN(G195)</f>
        <v>-2.46893585666898</v>
      </c>
      <c r="P195" s="10" t="n">
        <f aca="false">LN(I195)</f>
        <v>7.83183310691181</v>
      </c>
      <c r="Q195" s="10" t="n">
        <f aca="false">LN(J195)</f>
        <v>8.42470804940365</v>
      </c>
      <c r="R195" s="10" t="n">
        <f aca="false">LN(M195)</f>
        <v>4.32377401128518</v>
      </c>
      <c r="S195" s="3" t="n">
        <v>1</v>
      </c>
      <c r="T195" s="3" t="s">
        <v>47</v>
      </c>
      <c r="U195" s="15" t="n">
        <v>0.072243358505</v>
      </c>
      <c r="V195" s="15" t="n">
        <v>0.071758404512</v>
      </c>
      <c r="W195" s="15" t="n">
        <v>0.077332956394</v>
      </c>
      <c r="X195" s="15" t="n">
        <v>0.073256178199</v>
      </c>
      <c r="Y195" s="15" t="n">
        <v>0.918870800822</v>
      </c>
    </row>
    <row r="196" customFormat="false" ht="15" hidden="false" customHeight="true" outlineLevel="0" collapsed="false">
      <c r="A196" s="3" t="s">
        <v>19</v>
      </c>
      <c r="B196" s="9" t="n">
        <v>45717</v>
      </c>
      <c r="C196" s="3" t="n">
        <v>2025</v>
      </c>
      <c r="D196" s="3" t="n">
        <v>3</v>
      </c>
      <c r="E196" s="3" t="n">
        <v>31</v>
      </c>
      <c r="F196" s="10" t="n">
        <f aca="false">Annual_Data!$C$16*U196</f>
        <v>1.4900076410312</v>
      </c>
      <c r="G196" s="11" t="n">
        <f aca="false">Annual_Data!$D$16*V196</f>
        <v>0.09403959871122</v>
      </c>
      <c r="H196" s="12" t="n">
        <f aca="false">Annual_Data!$E$15+(Annual_Data!$E$16-Annual_Data!$E$15)*D196/12</f>
        <v>11.85</v>
      </c>
      <c r="I196" s="13" t="n">
        <f aca="false">Annual_Data!$F$16*Y196</f>
        <v>2564.9362153423</v>
      </c>
      <c r="J196" s="13" t="n">
        <f aca="false">Annual_Data!$H$16*W196</f>
        <v>4881.16350744634</v>
      </c>
      <c r="K196" s="13" t="n">
        <f aca="false">Annual_Data!$I$16*X196</f>
        <v>5929.35208468965</v>
      </c>
      <c r="L196" s="12" t="n">
        <f aca="false">K196*0.0036</f>
        <v>21.3456675048827</v>
      </c>
      <c r="M196" s="14" t="n">
        <f aca="false">K196/(I196*E196/1000)</f>
        <v>74.5708298485846</v>
      </c>
      <c r="N196" s="10" t="n">
        <f aca="false">LN(F196)</f>
        <v>0.398781248153078</v>
      </c>
      <c r="O196" s="10" t="n">
        <f aca="false">LN(G196)</f>
        <v>-2.36403932253311</v>
      </c>
      <c r="P196" s="10" t="n">
        <f aca="false">LN(I196)</f>
        <v>7.84968888998273</v>
      </c>
      <c r="Q196" s="10" t="n">
        <f aca="false">LN(J196)</f>
        <v>8.49313889408583</v>
      </c>
      <c r="R196" s="10" t="n">
        <f aca="false">LN(M196)</f>
        <v>4.3117494099447</v>
      </c>
      <c r="S196" s="3" t="n">
        <v>1</v>
      </c>
      <c r="T196" s="3" t="s">
        <v>47</v>
      </c>
      <c r="U196" s="15" t="n">
        <v>0.080978676143</v>
      </c>
      <c r="V196" s="15" t="n">
        <v>0.079694575179</v>
      </c>
      <c r="W196" s="15" t="n">
        <v>0.082810184369</v>
      </c>
      <c r="X196" s="15" t="n">
        <v>0.081579374325</v>
      </c>
      <c r="Y196" s="15" t="n">
        <v>0.935425315588</v>
      </c>
    </row>
    <row r="197" customFormat="false" ht="15" hidden="false" customHeight="true" outlineLevel="0" collapsed="false">
      <c r="A197" s="3" t="s">
        <v>19</v>
      </c>
      <c r="B197" s="9" t="n">
        <v>45748</v>
      </c>
      <c r="C197" s="3" t="n">
        <v>2025</v>
      </c>
      <c r="D197" s="3" t="n">
        <v>4</v>
      </c>
      <c r="E197" s="3" t="n">
        <v>30</v>
      </c>
      <c r="F197" s="10" t="n">
        <f aca="false">Annual_Data!$C$16*U197</f>
        <v>1.4599276831432</v>
      </c>
      <c r="G197" s="11" t="n">
        <f aca="false">Annual_Data!$D$16*V197</f>
        <v>0.08647652552986</v>
      </c>
      <c r="H197" s="12" t="n">
        <f aca="false">Annual_Data!$E$15+(Annual_Data!$E$16-Annual_Data!$E$15)*D197/12</f>
        <v>11.8666666666667</v>
      </c>
      <c r="I197" s="13" t="n">
        <f aca="false">Annual_Data!$F$16*Y197</f>
        <v>2628.16410652931</v>
      </c>
      <c r="J197" s="13" t="n">
        <f aca="false">Annual_Data!$H$16*W197</f>
        <v>4705.86071368339</v>
      </c>
      <c r="K197" s="13" t="n">
        <f aca="false">Annual_Data!$I$16*X197</f>
        <v>5691.24624088421</v>
      </c>
      <c r="L197" s="12" t="n">
        <f aca="false">K197*0.0036</f>
        <v>20.4884864671832</v>
      </c>
      <c r="M197" s="14" t="n">
        <f aca="false">K197/(I197*E197/1000)</f>
        <v>72.1827862872679</v>
      </c>
      <c r="N197" s="10" t="n">
        <f aca="false">LN(F197)</f>
        <v>0.378386902399792</v>
      </c>
      <c r="O197" s="10" t="n">
        <f aca="false">LN(G197)</f>
        <v>-2.44788228303252</v>
      </c>
      <c r="P197" s="10" t="n">
        <f aca="false">LN(I197)</f>
        <v>7.87404082306176</v>
      </c>
      <c r="Q197" s="10" t="n">
        <f aca="false">LN(J197)</f>
        <v>8.45656397124695</v>
      </c>
      <c r="R197" s="10" t="n">
        <f aca="false">LN(M197)</f>
        <v>4.27920160039906</v>
      </c>
      <c r="S197" s="3" t="n">
        <v>1</v>
      </c>
      <c r="T197" s="3" t="s">
        <v>47</v>
      </c>
      <c r="U197" s="15" t="n">
        <v>0.079343895823</v>
      </c>
      <c r="V197" s="15" t="n">
        <v>0.073285191127</v>
      </c>
      <c r="W197" s="15" t="n">
        <v>0.079836127743</v>
      </c>
      <c r="X197" s="15" t="n">
        <v>0.078303379666</v>
      </c>
      <c r="Y197" s="15" t="n">
        <v>0.958484356867</v>
      </c>
    </row>
    <row r="198" customFormat="false" ht="15" hidden="false" customHeight="true" outlineLevel="0" collapsed="false">
      <c r="A198" s="3" t="s">
        <v>19</v>
      </c>
      <c r="B198" s="9" t="n">
        <v>45778</v>
      </c>
      <c r="C198" s="3" t="n">
        <v>2025</v>
      </c>
      <c r="D198" s="3" t="n">
        <v>5</v>
      </c>
      <c r="E198" s="3" t="n">
        <v>31</v>
      </c>
      <c r="F198" s="10" t="n">
        <f aca="false">Annual_Data!$C$16*U198</f>
        <v>1.4839631612672</v>
      </c>
      <c r="G198" s="11" t="n">
        <f aca="false">Annual_Data!$D$16*V198</f>
        <v>0.09837919804848</v>
      </c>
      <c r="H198" s="12" t="n">
        <f aca="false">Annual_Data!$E$15+(Annual_Data!$E$16-Annual_Data!$E$15)*D198/12</f>
        <v>11.8833333333333</v>
      </c>
      <c r="I198" s="13" t="n">
        <f aca="false">Annual_Data!$F$16*Y198</f>
        <v>2684.99525372599</v>
      </c>
      <c r="J198" s="13" t="n">
        <f aca="false">Annual_Data!$H$16*W198</f>
        <v>4859.10427476595</v>
      </c>
      <c r="K198" s="13" t="n">
        <f aca="false">Annual_Data!$I$16*X198</f>
        <v>5939.63545944696</v>
      </c>
      <c r="L198" s="12" t="n">
        <f aca="false">K198*0.0036</f>
        <v>21.3826876540091</v>
      </c>
      <c r="M198" s="14" t="n">
        <f aca="false">K198/(I198*E198/1000)</f>
        <v>71.3599562558784</v>
      </c>
      <c r="N198" s="10" t="n">
        <f aca="false">LN(F198)</f>
        <v>0.394716320493134</v>
      </c>
      <c r="O198" s="10" t="n">
        <f aca="false">LN(G198)</f>
        <v>-2.31892589921881</v>
      </c>
      <c r="P198" s="10" t="n">
        <f aca="false">LN(I198)</f>
        <v>7.89543423924159</v>
      </c>
      <c r="Q198" s="10" t="n">
        <f aca="false">LN(J198)</f>
        <v>8.48860939430446</v>
      </c>
      <c r="R198" s="10" t="n">
        <f aca="false">LN(M198)</f>
        <v>4.26773687526538</v>
      </c>
      <c r="S198" s="3" t="n">
        <v>1</v>
      </c>
      <c r="T198" s="3" t="s">
        <v>47</v>
      </c>
      <c r="U198" s="15" t="n">
        <v>0.080650171808</v>
      </c>
      <c r="V198" s="15" t="n">
        <v>0.083372201736</v>
      </c>
      <c r="W198" s="15" t="n">
        <v>0.082435943858</v>
      </c>
      <c r="X198" s="15" t="n">
        <v>0.081720858802</v>
      </c>
      <c r="Y198" s="15" t="n">
        <v>0.979210522876</v>
      </c>
    </row>
    <row r="199" customFormat="false" ht="15" hidden="false" customHeight="true" outlineLevel="0" collapsed="false">
      <c r="A199" s="3" t="s">
        <v>19</v>
      </c>
      <c r="B199" s="9" t="n">
        <v>45809</v>
      </c>
      <c r="C199" s="3" t="n">
        <v>2025</v>
      </c>
      <c r="D199" s="3" t="n">
        <v>6</v>
      </c>
      <c r="E199" s="3" t="n">
        <v>30</v>
      </c>
      <c r="F199" s="10" t="n">
        <f aca="false">Annual_Data!$C$16*U199</f>
        <v>1.5136321279232</v>
      </c>
      <c r="G199" s="11" t="n">
        <f aca="false">Annual_Data!$D$16*V199</f>
        <v>0.09850225959476</v>
      </c>
      <c r="H199" s="12" t="n">
        <f aca="false">Annual_Data!$E$15+(Annual_Data!$E$16-Annual_Data!$E$15)*D199/12</f>
        <v>11.9</v>
      </c>
      <c r="I199" s="13" t="n">
        <f aca="false">Annual_Data!$F$16*Y199</f>
        <v>2762.54495118698</v>
      </c>
      <c r="J199" s="13" t="n">
        <f aca="false">Annual_Data!$H$16*W199</f>
        <v>4837.54159712832</v>
      </c>
      <c r="K199" s="13" t="n">
        <f aca="false">Annual_Data!$I$16*X199</f>
        <v>5951.92451841543</v>
      </c>
      <c r="L199" s="12" t="n">
        <f aca="false">K199*0.0036</f>
        <v>21.4269282662956</v>
      </c>
      <c r="M199" s="14" t="n">
        <f aca="false">K199/(I199*E199/1000)</f>
        <v>71.8169251370681</v>
      </c>
      <c r="N199" s="10" t="n">
        <f aca="false">LN(F199)</f>
        <v>0.41451214525511</v>
      </c>
      <c r="O199" s="10" t="n">
        <f aca="false">LN(G199)</f>
        <v>-2.31767579101889</v>
      </c>
      <c r="P199" s="10" t="n">
        <f aca="false">LN(I199)</f>
        <v>7.92390761761651</v>
      </c>
      <c r="Q199" s="10" t="n">
        <f aca="false">LN(J199)</f>
        <v>8.48416193619064</v>
      </c>
      <c r="R199" s="10" t="n">
        <f aca="false">LN(M199)</f>
        <v>4.27412017441815</v>
      </c>
      <c r="S199" s="3" t="n">
        <v>1</v>
      </c>
      <c r="T199" s="3" t="s">
        <v>47</v>
      </c>
      <c r="U199" s="15" t="n">
        <v>0.082262615648</v>
      </c>
      <c r="V199" s="15" t="n">
        <v>0.083476491182</v>
      </c>
      <c r="W199" s="15" t="n">
        <v>0.08207012753</v>
      </c>
      <c r="X199" s="15" t="n">
        <v>0.081889938615</v>
      </c>
      <c r="Y199" s="15" t="n">
        <v>1.007492688252</v>
      </c>
    </row>
    <row r="200" customFormat="false" ht="15" hidden="false" customHeight="true" outlineLevel="0" collapsed="false">
      <c r="A200" s="3" t="s">
        <v>19</v>
      </c>
      <c r="B200" s="9" t="n">
        <v>45839</v>
      </c>
      <c r="C200" s="3" t="n">
        <v>2025</v>
      </c>
      <c r="D200" s="3" t="n">
        <v>7</v>
      </c>
      <c r="E200" s="3" t="n">
        <v>31</v>
      </c>
      <c r="F200" s="10" t="n">
        <f aca="false">Annual_Data!$C$16*U200</f>
        <v>1.5961427827712</v>
      </c>
      <c r="G200" s="11" t="n">
        <f aca="false">Annual_Data!$D$16*V200</f>
        <v>0.10770849988966</v>
      </c>
      <c r="H200" s="12" t="n">
        <f aca="false">Annual_Data!$E$15+(Annual_Data!$E$16-Annual_Data!$E$15)*D200/12</f>
        <v>11.9166666666667</v>
      </c>
      <c r="I200" s="13" t="n">
        <f aca="false">Annual_Data!$F$16*Y200</f>
        <v>2804.46995927455</v>
      </c>
      <c r="J200" s="13" t="n">
        <f aca="false">Annual_Data!$H$16*W200</f>
        <v>5022.33181483546</v>
      </c>
      <c r="K200" s="13" t="n">
        <f aca="false">Annual_Data!$I$16*X200</f>
        <v>6322.03089968522</v>
      </c>
      <c r="L200" s="12" t="n">
        <f aca="false">K200*0.0036</f>
        <v>22.7593112388668</v>
      </c>
      <c r="M200" s="14" t="n">
        <f aca="false">K200/(I200*E200/1000)</f>
        <v>72.7183687457863</v>
      </c>
      <c r="N200" s="10" t="n">
        <f aca="false">LN(F200)</f>
        <v>0.467589957915274</v>
      </c>
      <c r="O200" s="10" t="n">
        <f aca="false">LN(G200)</f>
        <v>-2.2283267760244</v>
      </c>
      <c r="P200" s="10" t="n">
        <f aca="false">LN(I200)</f>
        <v>7.9389698372756</v>
      </c>
      <c r="Q200" s="10" t="n">
        <f aca="false">LN(J200)</f>
        <v>8.52164960978405</v>
      </c>
      <c r="R200" s="10" t="n">
        <f aca="false">LN(M200)</f>
        <v>4.28659401762898</v>
      </c>
      <c r="S200" s="3" t="n">
        <v>1</v>
      </c>
      <c r="T200" s="3" t="s">
        <v>47</v>
      </c>
      <c r="U200" s="15" t="n">
        <v>0.086746890368</v>
      </c>
      <c r="V200" s="15" t="n">
        <v>0.091278389737</v>
      </c>
      <c r="W200" s="15" t="n">
        <v>0.085205140724</v>
      </c>
      <c r="X200" s="15" t="n">
        <v>0.08698207121</v>
      </c>
      <c r="Y200" s="15" t="n">
        <v>1.022782625556</v>
      </c>
    </row>
    <row r="201" customFormat="false" ht="15" hidden="false" customHeight="true" outlineLevel="0" collapsed="false">
      <c r="A201" s="3" t="s">
        <v>19</v>
      </c>
      <c r="B201" s="9" t="n">
        <v>45870</v>
      </c>
      <c r="C201" s="3" t="n">
        <v>2025</v>
      </c>
      <c r="D201" s="3" t="n">
        <v>8</v>
      </c>
      <c r="E201" s="3" t="n">
        <v>31</v>
      </c>
      <c r="F201" s="10" t="n">
        <f aca="false">Annual_Data!$C$16*U201</f>
        <v>1.6262827518544</v>
      </c>
      <c r="G201" s="11" t="n">
        <f aca="false">Annual_Data!$D$16*V201</f>
        <v>0.10598150329282</v>
      </c>
      <c r="H201" s="12" t="n">
        <f aca="false">Annual_Data!$E$15+(Annual_Data!$E$16-Annual_Data!$E$15)*D201/12</f>
        <v>11.9333333333333</v>
      </c>
      <c r="I201" s="13" t="n">
        <f aca="false">Annual_Data!$F$16*Y201</f>
        <v>2842.04795099921</v>
      </c>
      <c r="J201" s="13" t="n">
        <f aca="false">Annual_Data!$H$16*W201</f>
        <v>4952.97659429318</v>
      </c>
      <c r="K201" s="13" t="n">
        <f aca="false">Annual_Data!$I$16*X201</f>
        <v>6375.05248998626</v>
      </c>
      <c r="L201" s="12" t="n">
        <f aca="false">K201*0.0036</f>
        <v>22.9501889639505</v>
      </c>
      <c r="M201" s="14" t="n">
        <f aca="false">K201/(I201*E201/1000)</f>
        <v>72.3586857299098</v>
      </c>
      <c r="N201" s="10" t="n">
        <f aca="false">LN(F201)</f>
        <v>0.486296890137185</v>
      </c>
      <c r="O201" s="10" t="n">
        <f aca="false">LN(G201)</f>
        <v>-2.24449069733403</v>
      </c>
      <c r="P201" s="10" t="n">
        <f aca="false">LN(I201)</f>
        <v>7.95228018078748</v>
      </c>
      <c r="Q201" s="10" t="n">
        <f aca="false">LN(J201)</f>
        <v>8.50774400701543</v>
      </c>
      <c r="R201" s="10" t="n">
        <f aca="false">LN(M201)</f>
        <v>4.28163549742558</v>
      </c>
      <c r="S201" s="3" t="n">
        <v>1</v>
      </c>
      <c r="T201" s="3" t="s">
        <v>47</v>
      </c>
      <c r="U201" s="15" t="n">
        <v>0.088384932166</v>
      </c>
      <c r="V201" s="15" t="n">
        <v>0.089814833299</v>
      </c>
      <c r="W201" s="15" t="n">
        <v>0.084028511711</v>
      </c>
      <c r="X201" s="15" t="n">
        <v>0.087711572191</v>
      </c>
      <c r="Y201" s="15" t="n">
        <v>1.036487217724</v>
      </c>
    </row>
    <row r="202" customFormat="false" ht="15" hidden="false" customHeight="true" outlineLevel="0" collapsed="false">
      <c r="A202" s="3" t="s">
        <v>19</v>
      </c>
      <c r="B202" s="9" t="n">
        <v>45901</v>
      </c>
      <c r="C202" s="3" t="n">
        <v>2025</v>
      </c>
      <c r="D202" s="3" t="n">
        <v>9</v>
      </c>
      <c r="E202" s="3" t="n">
        <v>30</v>
      </c>
      <c r="F202" s="10" t="n">
        <f aca="false">Annual_Data!$C$16*U202</f>
        <v>1.5192272869736</v>
      </c>
      <c r="G202" s="11" t="n">
        <f aca="false">Annual_Data!$D$16*V202</f>
        <v>0.10051368884556</v>
      </c>
      <c r="H202" s="12" t="n">
        <f aca="false">Annual_Data!$E$15+(Annual_Data!$E$16-Annual_Data!$E$15)*D202/12</f>
        <v>11.95</v>
      </c>
      <c r="I202" s="13" t="n">
        <f aca="false">Annual_Data!$F$16*Y202</f>
        <v>2830.95684899147</v>
      </c>
      <c r="J202" s="13" t="n">
        <f aca="false">Annual_Data!$H$16*W202</f>
        <v>4798.04898603686</v>
      </c>
      <c r="K202" s="13" t="n">
        <f aca="false">Annual_Data!$I$16*X202</f>
        <v>5862.5606581418</v>
      </c>
      <c r="L202" s="12" t="n">
        <f aca="false">K202*0.0036</f>
        <v>21.1052183693105</v>
      </c>
      <c r="M202" s="14" t="n">
        <f aca="false">K202/(I202*E202/1000)</f>
        <v>69.0292007362616</v>
      </c>
      <c r="N202" s="10" t="n">
        <f aca="false">LN(F202)</f>
        <v>0.418201841764324</v>
      </c>
      <c r="O202" s="10" t="n">
        <f aca="false">LN(G202)</f>
        <v>-2.29746135333989</v>
      </c>
      <c r="P202" s="10" t="n">
        <f aca="false">LN(I202)</f>
        <v>7.94837004267552</v>
      </c>
      <c r="Q202" s="10" t="n">
        <f aca="false">LN(J202)</f>
        <v>8.4759646530259</v>
      </c>
      <c r="R202" s="10" t="n">
        <f aca="false">LN(M202)</f>
        <v>4.23452961415004</v>
      </c>
      <c r="S202" s="3" t="n">
        <v>1</v>
      </c>
      <c r="T202" s="3" t="s">
        <v>47</v>
      </c>
      <c r="U202" s="15" t="n">
        <v>0.082566700379</v>
      </c>
      <c r="V202" s="15" t="n">
        <v>0.085181092242</v>
      </c>
      <c r="W202" s="15" t="n">
        <v>0.081400125306</v>
      </c>
      <c r="X202" s="15" t="n">
        <v>0.080660420161</v>
      </c>
      <c r="Y202" s="15" t="n">
        <v>1.032442322754</v>
      </c>
    </row>
    <row r="203" customFormat="false" ht="15" hidden="false" customHeight="true" outlineLevel="0" collapsed="false">
      <c r="A203" s="3" t="s">
        <v>19</v>
      </c>
      <c r="B203" s="9" t="n">
        <v>45931</v>
      </c>
      <c r="C203" s="3" t="n">
        <v>2025</v>
      </c>
      <c r="D203" s="3" t="n">
        <v>10</v>
      </c>
      <c r="E203" s="3" t="n">
        <v>31</v>
      </c>
      <c r="F203" s="10" t="n">
        <f aca="false">Annual_Data!$C$16*U203</f>
        <v>1.5853194237088</v>
      </c>
      <c r="G203" s="11" t="n">
        <f aca="false">Annual_Data!$D$16*V203</f>
        <v>0.10329776155256</v>
      </c>
      <c r="H203" s="12" t="n">
        <f aca="false">Annual_Data!$E$15+(Annual_Data!$E$16-Annual_Data!$E$15)*D203/12</f>
        <v>11.9666666666667</v>
      </c>
      <c r="I203" s="13" t="n">
        <f aca="false">Annual_Data!$F$16*Y203</f>
        <v>2915.35552302154</v>
      </c>
      <c r="J203" s="13" t="n">
        <f aca="false">Annual_Data!$H$16*W203</f>
        <v>5139.96923233843</v>
      </c>
      <c r="K203" s="13" t="n">
        <f aca="false">Annual_Data!$I$16*X203</f>
        <v>6261.17959856057</v>
      </c>
      <c r="L203" s="12" t="n">
        <f aca="false">K203*0.0036</f>
        <v>22.5402465548181</v>
      </c>
      <c r="M203" s="14" t="n">
        <f aca="false">K203/(I203*E203/1000)</f>
        <v>69.2792127212354</v>
      </c>
      <c r="N203" s="10" t="n">
        <f aca="false">LN(F203)</f>
        <v>0.460785916178789</v>
      </c>
      <c r="O203" s="10" t="n">
        <f aca="false">LN(G203)</f>
        <v>-2.27013957247603</v>
      </c>
      <c r="P203" s="10" t="n">
        <f aca="false">LN(I203)</f>
        <v>7.97774705464838</v>
      </c>
      <c r="Q203" s="10" t="n">
        <f aca="false">LN(J203)</f>
        <v>8.54480237250492</v>
      </c>
      <c r="R203" s="10" t="n">
        <f aca="false">LN(M203)</f>
        <v>4.2381449004661</v>
      </c>
      <c r="S203" s="3" t="n">
        <v>1</v>
      </c>
      <c r="T203" s="3" t="s">
        <v>47</v>
      </c>
      <c r="U203" s="15" t="n">
        <v>0.086158664332</v>
      </c>
      <c r="V203" s="15" t="n">
        <v>0.087540475892</v>
      </c>
      <c r="W203" s="15" t="n">
        <v>0.087200889528</v>
      </c>
      <c r="X203" s="15" t="n">
        <v>0.086144844646</v>
      </c>
      <c r="Y203" s="15" t="n">
        <v>1.063222291401</v>
      </c>
    </row>
    <row r="204" customFormat="false" ht="15" hidden="false" customHeight="true" outlineLevel="0" collapsed="false">
      <c r="A204" s="3" t="s">
        <v>19</v>
      </c>
      <c r="B204" s="9" t="n">
        <v>45962</v>
      </c>
      <c r="C204" s="3" t="n">
        <v>2025</v>
      </c>
      <c r="D204" s="3" t="n">
        <v>11</v>
      </c>
      <c r="E204" s="3" t="n">
        <v>30</v>
      </c>
      <c r="F204" s="10" t="n">
        <f aca="false">Annual_Data!$C$16*U204</f>
        <v>1.6361379260456</v>
      </c>
      <c r="G204" s="11" t="n">
        <f aca="false">Annual_Data!$D$16*V204</f>
        <v>0.09919875674118</v>
      </c>
      <c r="H204" s="12" t="n">
        <f aca="false">Annual_Data!$E$15+(Annual_Data!$E$16-Annual_Data!$E$15)*D204/12</f>
        <v>11.9833333333333</v>
      </c>
      <c r="I204" s="13" t="n">
        <f aca="false">Annual_Data!$F$16*Y204</f>
        <v>2963.90910982571</v>
      </c>
      <c r="J204" s="13" t="n">
        <f aca="false">Annual_Data!$H$16*W204</f>
        <v>5110.22903766893</v>
      </c>
      <c r="K204" s="13" t="n">
        <f aca="false">Annual_Data!$I$16*X204</f>
        <v>6424.1440931009</v>
      </c>
      <c r="L204" s="12" t="n">
        <f aca="false">K204*0.0036</f>
        <v>23.1269187351632</v>
      </c>
      <c r="M204" s="14" t="n">
        <f aca="false">K204/(I204*E204/1000)</f>
        <v>72.2485503104004</v>
      </c>
      <c r="N204" s="10" t="n">
        <f aca="false">LN(F204)</f>
        <v>0.492338541500769</v>
      </c>
      <c r="O204" s="10" t="n">
        <f aca="false">LN(G204)</f>
        <v>-2.31062979762085</v>
      </c>
      <c r="P204" s="10" t="n">
        <f aca="false">LN(I204)</f>
        <v>7.99426432124463</v>
      </c>
      <c r="Q204" s="10" t="n">
        <f aca="false">LN(J204)</f>
        <v>8.53899950365493</v>
      </c>
      <c r="R204" s="10" t="n">
        <f aca="false">LN(M204)</f>
        <v>4.28011226188329</v>
      </c>
      <c r="S204" s="3" t="n">
        <v>1</v>
      </c>
      <c r="T204" s="3" t="s">
        <v>47</v>
      </c>
      <c r="U204" s="15" t="n">
        <v>0.088920539459</v>
      </c>
      <c r="V204" s="15" t="n">
        <v>0.084066743001</v>
      </c>
      <c r="W204" s="15" t="n">
        <v>0.086696339537</v>
      </c>
      <c r="X204" s="15" t="n">
        <v>0.088387002189</v>
      </c>
      <c r="Y204" s="15" t="n">
        <v>1.080929653474</v>
      </c>
    </row>
    <row r="205" customFormat="false" ht="15" hidden="false" customHeight="true" outlineLevel="0" collapsed="false">
      <c r="A205" s="3" t="s">
        <v>19</v>
      </c>
      <c r="B205" s="9" t="n">
        <v>45992</v>
      </c>
      <c r="C205" s="3" t="n">
        <v>2025</v>
      </c>
      <c r="D205" s="3" t="n">
        <v>12</v>
      </c>
      <c r="E205" s="3" t="n">
        <v>31</v>
      </c>
      <c r="F205" s="10" t="n">
        <f aca="false">Annual_Data!$C$16*U205</f>
        <v>1.716448301</v>
      </c>
      <c r="G205" s="11" t="n">
        <f aca="false">Annual_Data!$D$16*V205</f>
        <v>0.10857140854208</v>
      </c>
      <c r="H205" s="12" t="n">
        <f aca="false">Annual_Data!$E$15+(Annual_Data!$E$16-Annual_Data!$E$15)*D205/12</f>
        <v>12</v>
      </c>
      <c r="I205" s="13" t="n">
        <f aca="false">Annual_Data!$F$16*Y205</f>
        <v>2948.4661881072</v>
      </c>
      <c r="J205" s="13" t="n">
        <f aca="false">Annual_Data!$H$16*W205</f>
        <v>5087.59007972602</v>
      </c>
      <c r="K205" s="13" t="n">
        <f aca="false">Annual_Data!$I$16*X205</f>
        <v>6731.65991340968</v>
      </c>
      <c r="L205" s="12" t="n">
        <f aca="false">K205*0.0036</f>
        <v>24.2339756882749</v>
      </c>
      <c r="M205" s="14" t="n">
        <f aca="false">K205/(I205*E205/1000)</f>
        <v>73.648570454461</v>
      </c>
      <c r="N205" s="10" t="n">
        <f aca="false">LN(F205)</f>
        <v>0.540257214615538</v>
      </c>
      <c r="O205" s="10" t="n">
        <f aca="false">LN(G205)</f>
        <v>-2.22034717923793</v>
      </c>
      <c r="P205" s="10" t="n">
        <f aca="false">LN(I205)</f>
        <v>7.9890403778853</v>
      </c>
      <c r="Q205" s="10" t="n">
        <f aca="false">LN(J205)</f>
        <v>8.53455953568275</v>
      </c>
      <c r="R205" s="10" t="n">
        <f aca="false">LN(M205)</f>
        <v>4.29930473273331</v>
      </c>
      <c r="S205" s="3" t="n">
        <v>1</v>
      </c>
      <c r="T205" s="3" t="s">
        <v>47</v>
      </c>
      <c r="U205" s="15" t="n">
        <v>0.09328523375</v>
      </c>
      <c r="V205" s="15" t="n">
        <v>0.092009668256</v>
      </c>
      <c r="W205" s="15" t="n">
        <v>0.086312263839</v>
      </c>
      <c r="X205" s="15" t="n">
        <v>0.092617978501</v>
      </c>
      <c r="Y205" s="15" t="n">
        <v>1.0752976616</v>
      </c>
    </row>
    <row r="206" customFormat="false" ht="15" hidden="false" customHeight="true" outlineLevel="0" collapsed="false">
      <c r="A206" s="16" t="s">
        <v>19</v>
      </c>
      <c r="B206" s="17" t="n">
        <v>46023</v>
      </c>
      <c r="C206" s="16" t="n">
        <v>2026</v>
      </c>
      <c r="D206" s="16" t="n">
        <v>1</v>
      </c>
      <c r="E206" s="16" t="n">
        <v>31</v>
      </c>
      <c r="F206" s="18" t="n">
        <f aca="false">Assumptions_2026!$G$14*U206</f>
        <v>1.71664393258931</v>
      </c>
      <c r="G206" s="19" t="n">
        <f aca="false">Assumptions_2026!$G$15*V206</f>
        <v>0.111596256904674</v>
      </c>
      <c r="H206" s="20" t="n">
        <f aca="false">Annual_Data!$E$16+(Assumptions_2026!$G$16-Annual_Data!$E$16)*D206/12</f>
        <v>12.0364228437559</v>
      </c>
      <c r="I206" s="21" t="n">
        <f aca="false">Assumptions_2026!$G$17*Y206</f>
        <v>2981.73173958483</v>
      </c>
      <c r="J206" s="21" t="n">
        <f aca="false">Assumptions_2026!$G$18*W206</f>
        <v>5253.91984594927</v>
      </c>
      <c r="K206" s="21" t="n">
        <f aca="false">Assumptions_2026!$G$19*X206</f>
        <v>6728.32757085914</v>
      </c>
      <c r="L206" s="20" t="n">
        <f aca="false">K206*0.0036</f>
        <v>24.2219792550929</v>
      </c>
      <c r="M206" s="22" t="n">
        <f aca="false">K206/(I206*E206/1000)</f>
        <v>72.7908624323946</v>
      </c>
      <c r="N206" s="18" t="n">
        <f aca="false">LN(F206)</f>
        <v>0.540371182767988</v>
      </c>
      <c r="O206" s="18" t="n">
        <f aca="false">LN(G206)</f>
        <v>-2.19286776987811</v>
      </c>
      <c r="P206" s="18" t="n">
        <f aca="false">LN(I206)</f>
        <v>8.00025953138027</v>
      </c>
      <c r="Q206" s="18" t="n">
        <f aca="false">LN(J206)</f>
        <v>8.56672971431436</v>
      </c>
      <c r="R206" s="18" t="n">
        <f aca="false">LN(M206)</f>
        <v>4.28759043128631</v>
      </c>
      <c r="S206" s="16" t="n">
        <v>1</v>
      </c>
      <c r="T206" s="16" t="s">
        <v>48</v>
      </c>
      <c r="U206" s="23" t="n">
        <v>0.092395593755</v>
      </c>
      <c r="V206" s="23" t="n">
        <v>0.091412676515</v>
      </c>
      <c r="W206" s="23" t="n">
        <v>0.083698305137</v>
      </c>
      <c r="X206" s="23" t="n">
        <v>0.089532557555</v>
      </c>
      <c r="Y206" s="23" t="n">
        <v>0.992269824528</v>
      </c>
    </row>
    <row r="207" customFormat="false" ht="15" hidden="false" customHeight="true" outlineLevel="0" collapsed="false">
      <c r="A207" s="16" t="s">
        <v>19</v>
      </c>
      <c r="B207" s="17" t="n">
        <v>46054</v>
      </c>
      <c r="C207" s="16" t="n">
        <v>2026</v>
      </c>
      <c r="D207" s="16" t="n">
        <v>2</v>
      </c>
      <c r="E207" s="16" t="n">
        <v>28</v>
      </c>
      <c r="F207" s="18" t="n">
        <f aca="false">Assumptions_2026!$G$14*U207</f>
        <v>1.48528681207529</v>
      </c>
      <c r="G207" s="19" t="n">
        <f aca="false">Assumptions_2026!$G$15*V207</f>
        <v>0.0936602869048205</v>
      </c>
      <c r="H207" s="20" t="n">
        <f aca="false">Annual_Data!$E$16+(Assumptions_2026!$G$16-Annual_Data!$E$16)*D207/12</f>
        <v>12.0728456875119</v>
      </c>
      <c r="I207" s="21" t="n">
        <f aca="false">Assumptions_2026!$G$17*Y207</f>
        <v>2996.37373217735</v>
      </c>
      <c r="J207" s="21" t="n">
        <f aca="false">Assumptions_2026!$G$18*W207</f>
        <v>4569.65236495532</v>
      </c>
      <c r="K207" s="21" t="n">
        <f aca="false">Assumptions_2026!$G$19*X207</f>
        <v>5926.93483279666</v>
      </c>
      <c r="L207" s="20" t="n">
        <f aca="false">K207*0.0036</f>
        <v>21.336965398068</v>
      </c>
      <c r="M207" s="22" t="n">
        <f aca="false">K207/(I207*E207/1000)</f>
        <v>70.644139532833</v>
      </c>
      <c r="N207" s="18" t="n">
        <f aca="false">LN(F207)</f>
        <v>0.395607893050278</v>
      </c>
      <c r="O207" s="18" t="n">
        <f aca="false">LN(G207)</f>
        <v>-2.36808101197262</v>
      </c>
      <c r="P207" s="18" t="n">
        <f aca="false">LN(I207)</f>
        <v>8.00515808057467</v>
      </c>
      <c r="Q207" s="18" t="n">
        <f aca="false">LN(J207)</f>
        <v>8.4271924120573</v>
      </c>
      <c r="R207" s="18" t="n">
        <f aca="false">LN(M207)</f>
        <v>4.25765515498694</v>
      </c>
      <c r="S207" s="16" t="n">
        <v>1</v>
      </c>
      <c r="T207" s="16" t="s">
        <v>48</v>
      </c>
      <c r="U207" s="23" t="n">
        <v>0.079943169514</v>
      </c>
      <c r="V207" s="23" t="n">
        <v>0.076720651271</v>
      </c>
      <c r="W207" s="23" t="n">
        <v>0.072797486301</v>
      </c>
      <c r="X207" s="23" t="n">
        <v>0.078868578923</v>
      </c>
      <c r="Y207" s="23" t="n">
        <v>0.997142431687</v>
      </c>
    </row>
    <row r="208" customFormat="false" ht="15" hidden="false" customHeight="true" outlineLevel="0" collapsed="false">
      <c r="A208" s="16" t="s">
        <v>19</v>
      </c>
      <c r="B208" s="17" t="n">
        <v>46082</v>
      </c>
      <c r="C208" s="16" t="n">
        <v>2026</v>
      </c>
      <c r="D208" s="16" t="n">
        <v>3</v>
      </c>
      <c r="E208" s="16" t="n">
        <v>31</v>
      </c>
      <c r="F208" s="18" t="n">
        <f aca="false">Assumptions_2026!$G$14*U208</f>
        <v>1.65011556309872</v>
      </c>
      <c r="G208" s="19" t="n">
        <f aca="false">Assumptions_2026!$G$15*V208</f>
        <v>0.104011526271007</v>
      </c>
      <c r="H208" s="20" t="n">
        <f aca="false">Annual_Data!$E$16+(Assumptions_2026!$G$16-Annual_Data!$E$16)*D208/12</f>
        <v>12.1092685312678</v>
      </c>
      <c r="I208" s="21" t="n">
        <f aca="false">Assumptions_2026!$G$17*Y208</f>
        <v>2994.70001266112</v>
      </c>
      <c r="J208" s="21" t="n">
        <f aca="false">Assumptions_2026!$G$18*W208</f>
        <v>5196.6132955755</v>
      </c>
      <c r="K208" s="21" t="n">
        <f aca="false">Assumptions_2026!$G$19*X208</f>
        <v>6548.5831959215</v>
      </c>
      <c r="L208" s="20" t="n">
        <f aca="false">K208*0.0036</f>
        <v>23.5748995053174</v>
      </c>
      <c r="M208" s="22" t="n">
        <f aca="false">K208/(I208*E208/1000)</f>
        <v>70.5394925468878</v>
      </c>
      <c r="N208" s="18" t="n">
        <f aca="false">LN(F208)</f>
        <v>0.500845323701578</v>
      </c>
      <c r="O208" s="18" t="n">
        <f aca="false">LN(G208)</f>
        <v>-2.26325355645299</v>
      </c>
      <c r="P208" s="18" t="n">
        <f aca="false">LN(I208)</f>
        <v>8.00459934281544</v>
      </c>
      <c r="Q208" s="18" t="n">
        <f aca="false">LN(J208)</f>
        <v>8.5557624030761</v>
      </c>
      <c r="R208" s="18" t="n">
        <f aca="false">LN(M208)</f>
        <v>4.25617273094715</v>
      </c>
      <c r="S208" s="16" t="n">
        <v>1</v>
      </c>
      <c r="T208" s="16" t="s">
        <v>48</v>
      </c>
      <c r="U208" s="23" t="n">
        <v>0.08881481146</v>
      </c>
      <c r="V208" s="23" t="n">
        <v>0.085199739387</v>
      </c>
      <c r="W208" s="23" t="n">
        <v>0.082785375119</v>
      </c>
      <c r="X208" s="23" t="n">
        <v>0.087140733818</v>
      </c>
      <c r="Y208" s="23" t="n">
        <v>0.996585446178</v>
      </c>
    </row>
    <row r="209" customFormat="false" ht="15" hidden="false" customHeight="true" outlineLevel="0" collapsed="false">
      <c r="A209" s="16" t="s">
        <v>19</v>
      </c>
      <c r="B209" s="17" t="n">
        <v>46113</v>
      </c>
      <c r="C209" s="16" t="n">
        <v>2026</v>
      </c>
      <c r="D209" s="16" t="n">
        <v>4</v>
      </c>
      <c r="E209" s="16" t="n">
        <v>30</v>
      </c>
      <c r="F209" s="18" t="n">
        <f aca="false">Assumptions_2026!$G$14*U209</f>
        <v>1.53423871672958</v>
      </c>
      <c r="G209" s="19" t="n">
        <f aca="false">Assumptions_2026!$G$15*V209</f>
        <v>0.0992814102334948</v>
      </c>
      <c r="H209" s="20" t="n">
        <f aca="false">Annual_Data!$E$16+(Assumptions_2026!$G$16-Annual_Data!$E$16)*D209/12</f>
        <v>12.1456913750238</v>
      </c>
      <c r="I209" s="21" t="n">
        <f aca="false">Assumptions_2026!$G$17*Y209</f>
        <v>2992.94539104408</v>
      </c>
      <c r="J209" s="21" t="n">
        <f aca="false">Assumptions_2026!$G$18*W209</f>
        <v>5102.0639190711</v>
      </c>
      <c r="K209" s="21" t="n">
        <f aca="false">Assumptions_2026!$G$19*X209</f>
        <v>6141.26983748911</v>
      </c>
      <c r="L209" s="20" t="n">
        <f aca="false">K209*0.0036</f>
        <v>22.1085714149608</v>
      </c>
      <c r="M209" s="22" t="n">
        <f aca="false">K209/(I209*E209/1000)</f>
        <v>68.3971699569027</v>
      </c>
      <c r="N209" s="18" t="n">
        <f aca="false">LN(F209)</f>
        <v>0.428034308001971</v>
      </c>
      <c r="O209" s="18" t="n">
        <f aca="false">LN(G209)</f>
        <v>-2.30979693357854</v>
      </c>
      <c r="P209" s="18" t="n">
        <f aca="false">LN(I209)</f>
        <v>8.00401326212797</v>
      </c>
      <c r="Q209" s="18" t="n">
        <f aca="false">LN(J209)</f>
        <v>8.53740042686144</v>
      </c>
      <c r="R209" s="18" t="n">
        <f aca="false">LN(M209)</f>
        <v>4.22533144887346</v>
      </c>
      <c r="S209" s="16" t="n">
        <v>1</v>
      </c>
      <c r="T209" s="16" t="s">
        <v>48</v>
      </c>
      <c r="U209" s="23" t="n">
        <v>0.082577926909</v>
      </c>
      <c r="V209" s="23" t="n">
        <v>0.081325124062</v>
      </c>
      <c r="W209" s="23" t="n">
        <v>0.081279143049</v>
      </c>
      <c r="X209" s="23" t="n">
        <v>0.0817206935</v>
      </c>
      <c r="Y209" s="23" t="n">
        <v>0.99600153782</v>
      </c>
    </row>
    <row r="210" customFormat="false" ht="15" hidden="false" customHeight="true" outlineLevel="0" collapsed="false">
      <c r="A210" s="16" t="s">
        <v>19</v>
      </c>
      <c r="B210" s="17" t="n">
        <v>46143</v>
      </c>
      <c r="C210" s="16" t="n">
        <v>2026</v>
      </c>
      <c r="D210" s="16" t="n">
        <v>5</v>
      </c>
      <c r="E210" s="16" t="n">
        <v>31</v>
      </c>
      <c r="F210" s="18" t="n">
        <f aca="false">Assumptions_2026!$G$14*U210</f>
        <v>1.5512991275671</v>
      </c>
      <c r="G210" s="19" t="n">
        <f aca="false">Assumptions_2026!$G$15*V210</f>
        <v>0.100197439982465</v>
      </c>
      <c r="H210" s="20" t="n">
        <f aca="false">Annual_Data!$E$16+(Assumptions_2026!$G$16-Annual_Data!$E$16)*D210/12</f>
        <v>12.1821142187797</v>
      </c>
      <c r="I210" s="21" t="n">
        <f aca="false">Assumptions_2026!$G$17*Y210</f>
        <v>3000.58677430414</v>
      </c>
      <c r="J210" s="21" t="n">
        <f aca="false">Assumptions_2026!$G$18*W210</f>
        <v>5201.0909219258</v>
      </c>
      <c r="K210" s="21" t="n">
        <f aca="false">Assumptions_2026!$G$19*X210</f>
        <v>6234.01678634993</v>
      </c>
      <c r="L210" s="20" t="n">
        <f aca="false">K210*0.0036</f>
        <v>22.4424604308597</v>
      </c>
      <c r="M210" s="22" t="n">
        <f aca="false">K210/(I210*E210/1000)</f>
        <v>67.0193301559638</v>
      </c>
      <c r="N210" s="18" t="n">
        <f aca="false">LN(F210)</f>
        <v>0.439092726699733</v>
      </c>
      <c r="O210" s="18" t="n">
        <f aca="false">LN(G210)</f>
        <v>-2.30061263973495</v>
      </c>
      <c r="P210" s="18" t="n">
        <f aca="false">LN(I210)</f>
        <v>8.00656313995945</v>
      </c>
      <c r="Q210" s="18" t="n">
        <f aca="false">LN(J210)</f>
        <v>8.55662367524415</v>
      </c>
      <c r="R210" s="18" t="n">
        <f aca="false">LN(M210)</f>
        <v>4.20498108757052</v>
      </c>
      <c r="S210" s="16" t="n">
        <v>1</v>
      </c>
      <c r="T210" s="16" t="s">
        <v>48</v>
      </c>
      <c r="U210" s="23" t="n">
        <v>0.083496176034</v>
      </c>
      <c r="V210" s="23" t="n">
        <v>0.082075478361</v>
      </c>
      <c r="W210" s="23" t="n">
        <v>0.082856706572</v>
      </c>
      <c r="X210" s="23" t="n">
        <v>0.082954859264</v>
      </c>
      <c r="Y210" s="23" t="n">
        <v>0.998544460755</v>
      </c>
    </row>
    <row r="211" customFormat="false" ht="15" hidden="false" customHeight="true" outlineLevel="0" collapsed="false">
      <c r="A211" s="16" t="s">
        <v>19</v>
      </c>
      <c r="B211" s="17" t="n">
        <v>46174</v>
      </c>
      <c r="C211" s="16" t="n">
        <v>2026</v>
      </c>
      <c r="D211" s="16" t="n">
        <v>6</v>
      </c>
      <c r="E211" s="16" t="n">
        <v>30</v>
      </c>
      <c r="F211" s="18" t="n">
        <f aca="false">Assumptions_2026!$G$14*U211</f>
        <v>1.50118297009562</v>
      </c>
      <c r="G211" s="19" t="n">
        <f aca="false">Assumptions_2026!$G$15*V211</f>
        <v>0.101643704005029</v>
      </c>
      <c r="H211" s="20" t="n">
        <f aca="false">Annual_Data!$E$16+(Assumptions_2026!$G$16-Annual_Data!$E$16)*D211/12</f>
        <v>12.2185370625356</v>
      </c>
      <c r="I211" s="21" t="n">
        <f aca="false">Assumptions_2026!$G$17*Y211</f>
        <v>2968.45654121387</v>
      </c>
      <c r="J211" s="21" t="n">
        <f aca="false">Assumptions_2026!$G$18*W211</f>
        <v>4983.04457818291</v>
      </c>
      <c r="K211" s="21" t="n">
        <f aca="false">Assumptions_2026!$G$19*X211</f>
        <v>6026.22142402961</v>
      </c>
      <c r="L211" s="20" t="n">
        <f aca="false">K211*0.0036</f>
        <v>21.6943971265066</v>
      </c>
      <c r="M211" s="22" t="n">
        <f aca="false">K211/(I211*E211/1000)</f>
        <v>67.6695261253554</v>
      </c>
      <c r="N211" s="18" t="n">
        <f aca="false">LN(F211)</f>
        <v>0.406253444020153</v>
      </c>
      <c r="O211" s="18" t="n">
        <f aca="false">LN(G211)</f>
        <v>-2.28628167879917</v>
      </c>
      <c r="P211" s="18" t="n">
        <f aca="false">LN(I211)</f>
        <v>7.99579741362171</v>
      </c>
      <c r="Q211" s="18" t="n">
        <f aca="false">LN(J211)</f>
        <v>8.51379634429455</v>
      </c>
      <c r="R211" s="18" t="n">
        <f aca="false">LN(M211)</f>
        <v>4.21463594749101</v>
      </c>
      <c r="S211" s="16" t="n">
        <v>1</v>
      </c>
      <c r="T211" s="16" t="s">
        <v>48</v>
      </c>
      <c r="U211" s="23" t="n">
        <v>0.080798754607</v>
      </c>
      <c r="V211" s="23" t="n">
        <v>0.083260167426</v>
      </c>
      <c r="W211" s="23" t="n">
        <v>0.079383088788</v>
      </c>
      <c r="X211" s="23" t="n">
        <v>0.080189766447</v>
      </c>
      <c r="Y211" s="23" t="n">
        <v>0.987852063338</v>
      </c>
    </row>
    <row r="212" customFormat="false" ht="15" hidden="false" customHeight="true" outlineLevel="0" collapsed="false">
      <c r="A212" s="16" t="s">
        <v>19</v>
      </c>
      <c r="B212" s="17" t="n">
        <v>46204</v>
      </c>
      <c r="C212" s="16" t="n">
        <v>2026</v>
      </c>
      <c r="D212" s="16" t="n">
        <v>7</v>
      </c>
      <c r="E212" s="16" t="n">
        <v>31</v>
      </c>
      <c r="F212" s="18" t="n">
        <f aca="false">Assumptions_2026!$G$14*U212</f>
        <v>1.58605402494385</v>
      </c>
      <c r="G212" s="19" t="n">
        <f aca="false">Assumptions_2026!$G$15*V212</f>
        <v>0.108722163351183</v>
      </c>
      <c r="H212" s="20" t="n">
        <f aca="false">Annual_Data!$E$16+(Assumptions_2026!$G$16-Annual_Data!$E$16)*D212/12</f>
        <v>12.2549599062916</v>
      </c>
      <c r="I212" s="21" t="n">
        <f aca="false">Assumptions_2026!$G$17*Y212</f>
        <v>3005.54414152058</v>
      </c>
      <c r="J212" s="21" t="n">
        <f aca="false">Assumptions_2026!$G$18*W212</f>
        <v>5372.50322826688</v>
      </c>
      <c r="K212" s="21" t="n">
        <f aca="false">Assumptions_2026!$G$19*X212</f>
        <v>6445.22994464658</v>
      </c>
      <c r="L212" s="20" t="n">
        <f aca="false">K212*0.0036</f>
        <v>23.2028278007277</v>
      </c>
      <c r="M212" s="22" t="n">
        <f aca="false">K212/(I212*E212/1000)</f>
        <v>69.1757078205841</v>
      </c>
      <c r="N212" s="18" t="n">
        <f aca="false">LN(F212)</f>
        <v>0.461249186279318</v>
      </c>
      <c r="O212" s="18" t="n">
        <f aca="false">LN(G212)</f>
        <v>-2.21895961096357</v>
      </c>
      <c r="P212" s="18" t="n">
        <f aca="false">LN(I212)</f>
        <v>8.00821390928555</v>
      </c>
      <c r="Q212" s="18" t="n">
        <f aca="false">LN(J212)</f>
        <v>8.58904922940376</v>
      </c>
      <c r="R212" s="18" t="n">
        <f aca="false">LN(M212)</f>
        <v>4.23664975793844</v>
      </c>
      <c r="S212" s="16" t="n">
        <v>1</v>
      </c>
      <c r="T212" s="16" t="s">
        <v>48</v>
      </c>
      <c r="U212" s="23" t="n">
        <v>0.085366802387</v>
      </c>
      <c r="V212" s="23" t="n">
        <v>0.089058398768</v>
      </c>
      <c r="W212" s="23" t="n">
        <v>0.085587414299</v>
      </c>
      <c r="X212" s="23" t="n">
        <v>0.085765432033</v>
      </c>
      <c r="Y212" s="23" t="n">
        <v>1.000194188607</v>
      </c>
    </row>
    <row r="213" customFormat="false" ht="15" hidden="false" customHeight="true" outlineLevel="0" collapsed="false">
      <c r="A213" s="16" t="s">
        <v>19</v>
      </c>
      <c r="B213" s="17" t="n">
        <v>46235</v>
      </c>
      <c r="C213" s="16" t="n">
        <v>2026</v>
      </c>
      <c r="D213" s="16" t="n">
        <v>8</v>
      </c>
      <c r="E213" s="16" t="n">
        <v>31</v>
      </c>
      <c r="F213" s="18" t="n">
        <f aca="false">Assumptions_2026!$G$14*U213</f>
        <v>1.57788587393948</v>
      </c>
      <c r="G213" s="19" t="n">
        <f aca="false">Assumptions_2026!$G$15*V213</f>
        <v>0.104037432568242</v>
      </c>
      <c r="H213" s="20" t="n">
        <f aca="false">Annual_Data!$E$16+(Assumptions_2026!$G$16-Annual_Data!$E$16)*D213/12</f>
        <v>12.2913827500475</v>
      </c>
      <c r="I213" s="21" t="n">
        <f aca="false">Assumptions_2026!$G$17*Y213</f>
        <v>3018.35516173863</v>
      </c>
      <c r="J213" s="21" t="n">
        <f aca="false">Assumptions_2026!$G$18*W213</f>
        <v>5285.93107746001</v>
      </c>
      <c r="K213" s="21" t="n">
        <f aca="false">Assumptions_2026!$G$19*X213</f>
        <v>6407.18406627983</v>
      </c>
      <c r="L213" s="20" t="n">
        <f aca="false">K213*0.0036</f>
        <v>23.0658626386074</v>
      </c>
      <c r="M213" s="22" t="n">
        <f aca="false">K213/(I213*E213/1000)</f>
        <v>68.475492744106</v>
      </c>
      <c r="N213" s="18" t="n">
        <f aca="false">LN(F213)</f>
        <v>0.456085896575965</v>
      </c>
      <c r="O213" s="18" t="n">
        <f aca="false">LN(G213)</f>
        <v>-2.26300451605872</v>
      </c>
      <c r="P213" s="18" t="n">
        <f aca="false">LN(I213)</f>
        <v>8.01246731356317</v>
      </c>
      <c r="Q213" s="18" t="n">
        <f aca="false">LN(J213)</f>
        <v>8.57280405638457</v>
      </c>
      <c r="R213" s="18" t="n">
        <f aca="false">LN(M213)</f>
        <v>4.22647591109413</v>
      </c>
      <c r="S213" s="16" t="n">
        <v>1</v>
      </c>
      <c r="T213" s="16" t="s">
        <v>48</v>
      </c>
      <c r="U213" s="23" t="n">
        <v>0.08492716482</v>
      </c>
      <c r="V213" s="23" t="n">
        <v>0.085220960206</v>
      </c>
      <c r="W213" s="23" t="n">
        <v>0.084208264539</v>
      </c>
      <c r="X213" s="23" t="n">
        <v>0.085259162866</v>
      </c>
      <c r="Y213" s="23" t="n">
        <v>1.004457479169</v>
      </c>
    </row>
    <row r="214" customFormat="false" ht="15" hidden="false" customHeight="true" outlineLevel="0" collapsed="false">
      <c r="A214" s="16" t="s">
        <v>19</v>
      </c>
      <c r="B214" s="17" t="n">
        <v>46266</v>
      </c>
      <c r="C214" s="16" t="n">
        <v>2026</v>
      </c>
      <c r="D214" s="16" t="n">
        <v>9</v>
      </c>
      <c r="E214" s="16" t="n">
        <v>30</v>
      </c>
      <c r="F214" s="18" t="n">
        <f aca="false">Assumptions_2026!$G$14*U214</f>
        <v>1.45412916042093</v>
      </c>
      <c r="G214" s="19" t="n">
        <f aca="false">Assumptions_2026!$G$15*V214</f>
        <v>0.101371684360232</v>
      </c>
      <c r="H214" s="20" t="n">
        <f aca="false">Annual_Data!$E$16+(Assumptions_2026!$G$16-Annual_Data!$E$16)*D214/12</f>
        <v>12.3278055938035</v>
      </c>
      <c r="I214" s="21" t="n">
        <f aca="false">Assumptions_2026!$G$17*Y214</f>
        <v>3014.59693907937</v>
      </c>
      <c r="J214" s="21" t="n">
        <f aca="false">Assumptions_2026!$G$18*W214</f>
        <v>5277.21822538008</v>
      </c>
      <c r="K214" s="21" t="n">
        <f aca="false">Assumptions_2026!$G$19*X214</f>
        <v>5998.57614358562</v>
      </c>
      <c r="L214" s="20" t="n">
        <f aca="false">K214*0.0036</f>
        <v>21.5948741169082</v>
      </c>
      <c r="M214" s="22" t="n">
        <f aca="false">K214/(I214*E214/1000)</f>
        <v>66.3281168793943</v>
      </c>
      <c r="N214" s="18" t="n">
        <f aca="false">LN(F214)</f>
        <v>0.374407206267129</v>
      </c>
      <c r="O214" s="18" t="n">
        <f aca="false">LN(G214)</f>
        <v>-2.28896147376226</v>
      </c>
      <c r="P214" s="18" t="n">
        <f aca="false">LN(I214)</f>
        <v>8.01122141501048</v>
      </c>
      <c r="Q214" s="18" t="n">
        <f aca="false">LN(J214)</f>
        <v>8.57115438661165</v>
      </c>
      <c r="R214" s="18" t="n">
        <f aca="false">LN(M214)</f>
        <v>4.19461389295496</v>
      </c>
      <c r="S214" s="16" t="n">
        <v>1</v>
      </c>
      <c r="T214" s="16" t="s">
        <v>48</v>
      </c>
      <c r="U214" s="23" t="n">
        <v>0.078266159116</v>
      </c>
      <c r="V214" s="23" t="n">
        <v>0.08303734594</v>
      </c>
      <c r="W214" s="23" t="n">
        <v>0.08406946323</v>
      </c>
      <c r="X214" s="23" t="n">
        <v>0.079821896031</v>
      </c>
      <c r="Y214" s="23" t="n">
        <v>1.003206806317</v>
      </c>
    </row>
    <row r="215" customFormat="false" ht="15" hidden="false" customHeight="true" outlineLevel="0" collapsed="false">
      <c r="A215" s="16" t="s">
        <v>19</v>
      </c>
      <c r="B215" s="17" t="n">
        <v>46296</v>
      </c>
      <c r="C215" s="16" t="n">
        <v>2026</v>
      </c>
      <c r="D215" s="16" t="n">
        <v>10</v>
      </c>
      <c r="E215" s="16" t="n">
        <v>31</v>
      </c>
      <c r="F215" s="18" t="n">
        <f aca="false">Assumptions_2026!$G$14*U215</f>
        <v>1.49245980420488</v>
      </c>
      <c r="G215" s="19" t="n">
        <f aca="false">Assumptions_2026!$G$15*V215</f>
        <v>0.0948038457790509</v>
      </c>
      <c r="H215" s="20" t="n">
        <f aca="false">Annual_Data!$E$16+(Assumptions_2026!$G$16-Annual_Data!$E$16)*D215/12</f>
        <v>12.3642284375594</v>
      </c>
      <c r="I215" s="21" t="n">
        <f aca="false">Assumptions_2026!$G$17*Y215</f>
        <v>3031.71820478427</v>
      </c>
      <c r="J215" s="21" t="n">
        <f aca="false">Assumptions_2026!$G$18*W215</f>
        <v>5483.44683536185</v>
      </c>
      <c r="K215" s="21" t="n">
        <f aca="false">Assumptions_2026!$G$19*X215</f>
        <v>6146.40968164043</v>
      </c>
      <c r="L215" s="20" t="n">
        <f aca="false">K215*0.0036</f>
        <v>22.1270748539055</v>
      </c>
      <c r="M215" s="22" t="n">
        <f aca="false">K215/(I215*E215/1000)</f>
        <v>65.398980597877</v>
      </c>
      <c r="N215" s="18" t="n">
        <f aca="false">LN(F215)</f>
        <v>0.400425634065922</v>
      </c>
      <c r="O215" s="18" t="n">
        <f aca="false">LN(G215)</f>
        <v>-2.35594530325443</v>
      </c>
      <c r="P215" s="18" t="n">
        <f aca="false">LN(I215)</f>
        <v>8.01688480206846</v>
      </c>
      <c r="Q215" s="18" t="n">
        <f aca="false">LN(J215)</f>
        <v>8.60948916676927</v>
      </c>
      <c r="R215" s="18" t="n">
        <f aca="false">LN(M215)</f>
        <v>4.18050667115325</v>
      </c>
      <c r="S215" s="16" t="n">
        <v>1</v>
      </c>
      <c r="T215" s="16" t="s">
        <v>48</v>
      </c>
      <c r="U215" s="23" t="n">
        <v>0.080329244258</v>
      </c>
      <c r="V215" s="23" t="n">
        <v>0.077657383204</v>
      </c>
      <c r="W215" s="23" t="n">
        <v>0.087354816953</v>
      </c>
      <c r="X215" s="23" t="n">
        <v>0.081789088415</v>
      </c>
      <c r="Y215" s="23" t="n">
        <v>1.008904473579</v>
      </c>
    </row>
    <row r="216" customFormat="false" ht="15" hidden="false" customHeight="true" outlineLevel="0" collapsed="false">
      <c r="A216" s="16" t="s">
        <v>19</v>
      </c>
      <c r="B216" s="17" t="n">
        <v>46327</v>
      </c>
      <c r="C216" s="16" t="n">
        <v>2026</v>
      </c>
      <c r="D216" s="16" t="n">
        <v>11</v>
      </c>
      <c r="E216" s="16" t="n">
        <v>30</v>
      </c>
      <c r="F216" s="18" t="n">
        <f aca="false">Assumptions_2026!$G$14*U216</f>
        <v>1.47811583431161</v>
      </c>
      <c r="G216" s="19" t="n">
        <f aca="false">Assumptions_2026!$G$15*V216</f>
        <v>0.0975105493625279</v>
      </c>
      <c r="H216" s="20" t="n">
        <f aca="false">Annual_Data!$E$16+(Assumptions_2026!$G$16-Annual_Data!$E$16)*D216/12</f>
        <v>12.4006512813153</v>
      </c>
      <c r="I216" s="21" t="n">
        <f aca="false">Assumptions_2026!$G$17*Y216</f>
        <v>3030.87708631334</v>
      </c>
      <c r="J216" s="21" t="n">
        <f aca="false">Assumptions_2026!$G$18*W216</f>
        <v>5385.084866245</v>
      </c>
      <c r="K216" s="21" t="n">
        <f aca="false">Assumptions_2026!$G$19*X216</f>
        <v>6092.70296582754</v>
      </c>
      <c r="L216" s="20" t="n">
        <f aca="false">K216*0.0036</f>
        <v>21.9337306769792</v>
      </c>
      <c r="M216" s="22" t="n">
        <f aca="false">K216/(I216*E216/1000)</f>
        <v>67.0070389122742</v>
      </c>
      <c r="N216" s="18" t="n">
        <f aca="false">LN(F216)</f>
        <v>0.390768191790386</v>
      </c>
      <c r="O216" s="18" t="n">
        <f aca="false">LN(G216)</f>
        <v>-2.32779470824135</v>
      </c>
      <c r="P216" s="18" t="n">
        <f aca="false">LN(I216)</f>
        <v>8.01660732404595</v>
      </c>
      <c r="Q216" s="18" t="n">
        <f aca="false">LN(J216)</f>
        <v>8.59138834921468</v>
      </c>
      <c r="R216" s="18" t="n">
        <f aca="false">LN(M216)</f>
        <v>4.20479767226487</v>
      </c>
      <c r="S216" s="16" t="n">
        <v>1</v>
      </c>
      <c r="T216" s="16" t="s">
        <v>48</v>
      </c>
      <c r="U216" s="23" t="n">
        <v>0.07955720319</v>
      </c>
      <c r="V216" s="23" t="n">
        <v>0.079874545553</v>
      </c>
      <c r="W216" s="23" t="n">
        <v>0.085787847843</v>
      </c>
      <c r="X216" s="23" t="n">
        <v>0.081074423504</v>
      </c>
      <c r="Y216" s="23" t="n">
        <v>1.008624563597</v>
      </c>
    </row>
    <row r="217" customFormat="false" ht="15" hidden="false" customHeight="true" outlineLevel="0" collapsed="false">
      <c r="A217" s="16" t="s">
        <v>19</v>
      </c>
      <c r="B217" s="17" t="n">
        <v>46357</v>
      </c>
      <c r="C217" s="16" t="n">
        <v>2026</v>
      </c>
      <c r="D217" s="16" t="n">
        <v>12</v>
      </c>
      <c r="E217" s="16" t="n">
        <v>31</v>
      </c>
      <c r="F217" s="18" t="n">
        <f aca="false">Assumptions_2026!$G$14*U217</f>
        <v>1.55187170234745</v>
      </c>
      <c r="G217" s="19" t="n">
        <f aca="false">Assumptions_2026!$G$15*V217</f>
        <v>0.103959996360464</v>
      </c>
      <c r="H217" s="20" t="n">
        <f aca="false">Annual_Data!$E$16+(Assumptions_2026!$G$16-Annual_Data!$E$16)*D217/12</f>
        <v>12.4370741250713</v>
      </c>
      <c r="I217" s="21" t="n">
        <f aca="false">Assumptions_2026!$G$17*Y217</f>
        <v>3022.39236209846</v>
      </c>
      <c r="J217" s="21" t="n">
        <f aca="false">Assumptions_2026!$G$18*W217</f>
        <v>5661.54835762012</v>
      </c>
      <c r="K217" s="21" t="n">
        <f aca="false">Assumptions_2026!$G$19*X217</f>
        <v>6454.05066388522</v>
      </c>
      <c r="L217" s="20" t="n">
        <f aca="false">K217*0.0036</f>
        <v>23.2345823899868</v>
      </c>
      <c r="M217" s="22" t="n">
        <f aca="false">K217/(I217*E217/1000)</f>
        <v>68.8842339984687</v>
      </c>
      <c r="N217" s="18" t="n">
        <f aca="false">LN(F217)</f>
        <v>0.439461752330762</v>
      </c>
      <c r="O217" s="18" t="n">
        <f aca="false">LN(G217)</f>
        <v>-2.26374910421785</v>
      </c>
      <c r="P217" s="18" t="n">
        <f aca="false">LN(I217)</f>
        <v>8.01380396964587</v>
      </c>
      <c r="Q217" s="18" t="n">
        <f aca="false">LN(J217)</f>
        <v>8.64145269520311</v>
      </c>
      <c r="R217" s="18" t="n">
        <f aca="false">LN(M217)</f>
        <v>4.23242732742993</v>
      </c>
      <c r="S217" s="16" t="n">
        <v>1</v>
      </c>
      <c r="T217" s="16" t="s">
        <v>48</v>
      </c>
      <c r="U217" s="23" t="n">
        <v>0.083526993949</v>
      </c>
      <c r="V217" s="23" t="n">
        <v>0.085157529306</v>
      </c>
      <c r="W217" s="23" t="n">
        <v>0.09019208817</v>
      </c>
      <c r="X217" s="23" t="n">
        <v>0.085882807643</v>
      </c>
      <c r="Y217" s="23" t="n">
        <v>1.005800991075</v>
      </c>
    </row>
    <row r="218" customFormat="false" ht="15" hidden="false" customHeight="true" outlineLevel="0" collapsed="false">
      <c r="A218" s="3" t="s">
        <v>22</v>
      </c>
      <c r="B218" s="9" t="n">
        <v>44197</v>
      </c>
      <c r="C218" s="3" t="n">
        <v>2021</v>
      </c>
      <c r="D218" s="3" t="n">
        <v>1</v>
      </c>
      <c r="E218" s="3" t="n">
        <v>31</v>
      </c>
      <c r="F218" s="10" t="n">
        <f aca="false">Annual_Data!$C$17*U218</f>
        <v>1.04545509991328</v>
      </c>
      <c r="G218" s="11" t="n">
        <f aca="false">Annual_Data!$D$17*V218</f>
        <v>0.0099412445005</v>
      </c>
      <c r="H218" s="12" t="n">
        <f aca="false">(2*Annual_Data!$E$17-Annual_Data!$E$18)+(Annual_Data!$E$17-(2*Annual_Data!$E$17-Annual_Data!$E$18))*D218/12</f>
        <v>20.3835</v>
      </c>
      <c r="I218" s="13" t="n">
        <f aca="false">Annual_Data!$F$17*Y218</f>
        <v>2078.62887593038</v>
      </c>
      <c r="J218" s="13" t="n">
        <f aca="false">Annual_Data!$H$17*W218</f>
        <v>5975.03033389018</v>
      </c>
      <c r="K218" s="13" t="n">
        <f aca="false">Annual_Data!$I$17*X218</f>
        <v>5230.775537736</v>
      </c>
      <c r="L218" s="12" t="n">
        <f aca="false">K218*0.0036</f>
        <v>18.8307919358496</v>
      </c>
      <c r="M218" s="14" t="n">
        <f aca="false">K218/(I218*E218/1000)</f>
        <v>81.1759601338903</v>
      </c>
      <c r="N218" s="10" t="n">
        <f aca="false">LN(F218)</f>
        <v>0.0444522929225264</v>
      </c>
      <c r="O218" s="10" t="n">
        <f aca="false">LN(G218)</f>
        <v>-4.61106306489313</v>
      </c>
      <c r="P218" s="10" t="n">
        <f aca="false">LN(I218)</f>
        <v>7.63946376106705</v>
      </c>
      <c r="Q218" s="10" t="n">
        <f aca="false">LN(J218)</f>
        <v>8.69534445358853</v>
      </c>
      <c r="R218" s="10" t="n">
        <f aca="false">LN(M218)</f>
        <v>4.39661914586957</v>
      </c>
      <c r="S218" s="3" t="n">
        <v>0</v>
      </c>
      <c r="T218" s="3" t="s">
        <v>47</v>
      </c>
      <c r="U218" s="15" t="n">
        <v>0.087048717728</v>
      </c>
      <c r="V218" s="15" t="n">
        <v>0.099412445005</v>
      </c>
      <c r="W218" s="15" t="n">
        <v>0.067328837261</v>
      </c>
      <c r="X218" s="15" t="n">
        <v>0.088657212504</v>
      </c>
      <c r="Y218" s="15" t="n">
        <v>0.999821489144</v>
      </c>
    </row>
    <row r="219" customFormat="false" ht="15" hidden="false" customHeight="true" outlineLevel="0" collapsed="false">
      <c r="A219" s="3" t="s">
        <v>22</v>
      </c>
      <c r="B219" s="9" t="n">
        <v>44228</v>
      </c>
      <c r="C219" s="3" t="n">
        <v>2021</v>
      </c>
      <c r="D219" s="3" t="n">
        <v>2</v>
      </c>
      <c r="E219" s="3" t="n">
        <v>28</v>
      </c>
      <c r="F219" s="10" t="n">
        <f aca="false">Annual_Data!$C$17*U219</f>
        <v>0.92797738419867</v>
      </c>
      <c r="G219" s="11" t="n">
        <f aca="false">Annual_Data!$D$17*V219</f>
        <v>0.0089565035419</v>
      </c>
      <c r="H219" s="12" t="n">
        <f aca="false">(2*Annual_Data!$E$17-Annual_Data!$E$18)+(Annual_Data!$E$17-(2*Annual_Data!$E$17-Annual_Data!$E$18))*D219/12</f>
        <v>20.451</v>
      </c>
      <c r="I219" s="13" t="n">
        <f aca="false">Annual_Data!$F$17*Y219</f>
        <v>2080.50154069388</v>
      </c>
      <c r="J219" s="13" t="n">
        <f aca="false">Annual_Data!$H$17*W219</f>
        <v>5516.54210238709</v>
      </c>
      <c r="K219" s="13" t="n">
        <f aca="false">Annual_Data!$I$17*X219</f>
        <v>4603.456318122</v>
      </c>
      <c r="L219" s="12" t="n">
        <f aca="false">K219*0.0036</f>
        <v>16.5724427452392</v>
      </c>
      <c r="M219" s="14" t="n">
        <f aca="false">K219/(I219*E219/1000)</f>
        <v>79.0238079630595</v>
      </c>
      <c r="N219" s="10" t="n">
        <f aca="false">LN(F219)</f>
        <v>-0.0747479169684725</v>
      </c>
      <c r="O219" s="10" t="n">
        <f aca="false">LN(G219)</f>
        <v>-4.71537535785338</v>
      </c>
      <c r="P219" s="10" t="n">
        <f aca="false">LN(I219)</f>
        <v>7.64036426896292</v>
      </c>
      <c r="Q219" s="10" t="n">
        <f aca="false">LN(J219)</f>
        <v>8.61550651225446</v>
      </c>
      <c r="R219" s="10" t="n">
        <f aca="false">LN(M219)</f>
        <v>4.36974917368623</v>
      </c>
      <c r="S219" s="3" t="n">
        <v>0</v>
      </c>
      <c r="T219" s="3" t="s">
        <v>47</v>
      </c>
      <c r="U219" s="15" t="n">
        <v>0.077267059467</v>
      </c>
      <c r="V219" s="15" t="n">
        <v>0.089565035419</v>
      </c>
      <c r="W219" s="15" t="n">
        <v>0.062162423402</v>
      </c>
      <c r="X219" s="15" t="n">
        <v>0.078024683358</v>
      </c>
      <c r="Y219" s="15" t="n">
        <v>1.000722241796</v>
      </c>
    </row>
    <row r="220" customFormat="false" ht="15" hidden="false" customHeight="true" outlineLevel="0" collapsed="false">
      <c r="A220" s="3" t="s">
        <v>22</v>
      </c>
      <c r="B220" s="9" t="n">
        <v>44256</v>
      </c>
      <c r="C220" s="3" t="n">
        <v>2021</v>
      </c>
      <c r="D220" s="3" t="n">
        <v>3</v>
      </c>
      <c r="E220" s="3" t="n">
        <v>31</v>
      </c>
      <c r="F220" s="10" t="n">
        <f aca="false">Annual_Data!$C$17*U220</f>
        <v>1.04065094151339</v>
      </c>
      <c r="G220" s="11" t="n">
        <f aca="false">Annual_Data!$D$17*V220</f>
        <v>0.0092155929971</v>
      </c>
      <c r="H220" s="12" t="n">
        <f aca="false">(2*Annual_Data!$E$17-Annual_Data!$E$18)+(Annual_Data!$E$17-(2*Annual_Data!$E$17-Annual_Data!$E$18))*D220/12</f>
        <v>20.5185</v>
      </c>
      <c r="I220" s="13" t="n">
        <f aca="false">Annual_Data!$F$17*Y220</f>
        <v>2074.23603173903</v>
      </c>
      <c r="J220" s="13" t="n">
        <f aca="false">Annual_Data!$H$17*W220</f>
        <v>6127.96494845085</v>
      </c>
      <c r="K220" s="13" t="n">
        <f aca="false">Annual_Data!$I$17*X220</f>
        <v>5047.201632892</v>
      </c>
      <c r="L220" s="12" t="n">
        <f aca="false">K220*0.0036</f>
        <v>18.1699258784112</v>
      </c>
      <c r="M220" s="14" t="n">
        <f aca="false">K220/(I220*E220/1000)</f>
        <v>78.4929744775674</v>
      </c>
      <c r="N220" s="10" t="n">
        <f aca="false">LN(F220)</f>
        <v>0.0398464226575907</v>
      </c>
      <c r="O220" s="10" t="n">
        <f aca="false">LN(G220)</f>
        <v>-4.68685833864486</v>
      </c>
      <c r="P220" s="10" t="n">
        <f aca="false">LN(I220)</f>
        <v>7.63734818739566</v>
      </c>
      <c r="Q220" s="10" t="n">
        <f aca="false">LN(J220)</f>
        <v>8.72061799150375</v>
      </c>
      <c r="R220" s="10" t="n">
        <f aca="false">LN(M220)</f>
        <v>4.36300912368221</v>
      </c>
      <c r="S220" s="3" t="n">
        <v>0</v>
      </c>
      <c r="T220" s="3" t="s">
        <v>47</v>
      </c>
      <c r="U220" s="15" t="n">
        <v>0.086648704539</v>
      </c>
      <c r="V220" s="15" t="n">
        <v>0.092155929971</v>
      </c>
      <c r="W220" s="15" t="n">
        <v>0.069052160692</v>
      </c>
      <c r="X220" s="15" t="n">
        <v>0.085545790388</v>
      </c>
      <c r="Y220" s="15" t="n">
        <v>0.997708528975</v>
      </c>
    </row>
    <row r="221" customFormat="false" ht="15" hidden="false" customHeight="true" outlineLevel="0" collapsed="false">
      <c r="A221" s="3" t="s">
        <v>22</v>
      </c>
      <c r="B221" s="9" t="n">
        <v>44287</v>
      </c>
      <c r="C221" s="3" t="n">
        <v>2021</v>
      </c>
      <c r="D221" s="3" t="n">
        <v>4</v>
      </c>
      <c r="E221" s="3" t="n">
        <v>30</v>
      </c>
      <c r="F221" s="10" t="n">
        <f aca="false">Annual_Data!$C$17*U221</f>
        <v>0.98178540281862</v>
      </c>
      <c r="G221" s="11" t="n">
        <f aca="false">Annual_Data!$D$17*V221</f>
        <v>0.0084915850842</v>
      </c>
      <c r="H221" s="12" t="n">
        <f aca="false">(2*Annual_Data!$E$17-Annual_Data!$E$18)+(Annual_Data!$E$17-(2*Annual_Data!$E$17-Annual_Data!$E$18))*D221/12</f>
        <v>20.586</v>
      </c>
      <c r="I221" s="13" t="n">
        <f aca="false">Annual_Data!$F$17*Y221</f>
        <v>2081.5747221654</v>
      </c>
      <c r="J221" s="13" t="n">
        <f aca="false">Annual_Data!$H$17*W221</f>
        <v>6250.65606901408</v>
      </c>
      <c r="K221" s="13" t="n">
        <f aca="false">Annual_Data!$I$17*X221</f>
        <v>4802.852207713</v>
      </c>
      <c r="L221" s="12" t="n">
        <f aca="false">K221*0.0036</f>
        <v>17.2902679477668</v>
      </c>
      <c r="M221" s="14" t="n">
        <f aca="false">K221/(I221*E221/1000)</f>
        <v>76.9105580912758</v>
      </c>
      <c r="N221" s="10" t="n">
        <f aca="false">LN(F221)</f>
        <v>-0.0183825252435942</v>
      </c>
      <c r="O221" s="10" t="n">
        <f aca="false">LN(G221)</f>
        <v>-4.76867959594384</v>
      </c>
      <c r="P221" s="10" t="n">
        <f aca="false">LN(I221)</f>
        <v>7.64087996422054</v>
      </c>
      <c r="Q221" s="10" t="n">
        <f aca="false">LN(J221)</f>
        <v>8.74044170826363</v>
      </c>
      <c r="R221" s="10" t="n">
        <f aca="false">LN(M221)</f>
        <v>4.34264316346281</v>
      </c>
      <c r="S221" s="3" t="n">
        <v>0</v>
      </c>
      <c r="T221" s="3" t="s">
        <v>47</v>
      </c>
      <c r="U221" s="15" t="n">
        <v>0.081747327462</v>
      </c>
      <c r="V221" s="15" t="n">
        <v>0.084915850842</v>
      </c>
      <c r="W221" s="15" t="n">
        <v>0.07043468932</v>
      </c>
      <c r="X221" s="15" t="n">
        <v>0.081404274707</v>
      </c>
      <c r="Y221" s="15" t="n">
        <v>1.0012384426</v>
      </c>
    </row>
    <row r="222" customFormat="false" ht="15" hidden="false" customHeight="true" outlineLevel="0" collapsed="false">
      <c r="A222" s="3" t="s">
        <v>22</v>
      </c>
      <c r="B222" s="9" t="n">
        <v>44317</v>
      </c>
      <c r="C222" s="3" t="n">
        <v>2021</v>
      </c>
      <c r="D222" s="3" t="n">
        <v>5</v>
      </c>
      <c r="E222" s="3" t="n">
        <v>31</v>
      </c>
      <c r="F222" s="10" t="n">
        <f aca="false">Annual_Data!$C$17*U222</f>
        <v>1.00132049930695</v>
      </c>
      <c r="G222" s="11" t="n">
        <f aca="false">Annual_Data!$D$17*V222</f>
        <v>0.0086286233722</v>
      </c>
      <c r="H222" s="12" t="n">
        <f aca="false">(2*Annual_Data!$E$17-Annual_Data!$E$18)+(Annual_Data!$E$17-(2*Annual_Data!$E$17-Annual_Data!$E$18))*D222/12</f>
        <v>20.6535</v>
      </c>
      <c r="I222" s="13" t="n">
        <f aca="false">Annual_Data!$F$17*Y222</f>
        <v>2097.02797425891</v>
      </c>
      <c r="J222" s="13" t="n">
        <f aca="false">Annual_Data!$H$17*W222</f>
        <v>6597.92381282961</v>
      </c>
      <c r="K222" s="13" t="n">
        <f aca="false">Annual_Data!$I$17*X222</f>
        <v>4893.723624567</v>
      </c>
      <c r="L222" s="12" t="n">
        <f aca="false">K222*0.0036</f>
        <v>17.6174050484412</v>
      </c>
      <c r="M222" s="14" t="n">
        <f aca="false">K222/(I222*E222/1000)</f>
        <v>75.2789444600402</v>
      </c>
      <c r="N222" s="10" t="n">
        <f aca="false">LN(F222)</f>
        <v>0.00131962821450715</v>
      </c>
      <c r="O222" s="10" t="n">
        <f aca="false">LN(G222)</f>
        <v>-4.75267030315785</v>
      </c>
      <c r="P222" s="10" t="n">
        <f aca="false">LN(I222)</f>
        <v>7.64827637094595</v>
      </c>
      <c r="Q222" s="10" t="n">
        <f aca="false">LN(J222)</f>
        <v>8.7945103047121</v>
      </c>
      <c r="R222" s="10" t="n">
        <f aca="false">LN(M222)</f>
        <v>4.3212004736597</v>
      </c>
      <c r="S222" s="3" t="n">
        <v>0</v>
      </c>
      <c r="T222" s="3" t="s">
        <v>47</v>
      </c>
      <c r="U222" s="15" t="n">
        <v>0.083373896695</v>
      </c>
      <c r="V222" s="15" t="n">
        <v>0.086286233722</v>
      </c>
      <c r="W222" s="15" t="n">
        <v>0.074347829857</v>
      </c>
      <c r="X222" s="15" t="n">
        <v>0.082944468213</v>
      </c>
      <c r="Y222" s="15" t="n">
        <v>1.00867146429</v>
      </c>
    </row>
    <row r="223" customFormat="false" ht="15" hidden="false" customHeight="true" outlineLevel="0" collapsed="false">
      <c r="A223" s="3" t="s">
        <v>22</v>
      </c>
      <c r="B223" s="9" t="n">
        <v>44348</v>
      </c>
      <c r="C223" s="3" t="n">
        <v>2021</v>
      </c>
      <c r="D223" s="3" t="n">
        <v>6</v>
      </c>
      <c r="E223" s="3" t="n">
        <v>30</v>
      </c>
      <c r="F223" s="10" t="n">
        <f aca="false">Annual_Data!$C$17*U223</f>
        <v>0.98213941001098</v>
      </c>
      <c r="G223" s="11" t="n">
        <f aca="false">Annual_Data!$D$17*V223</f>
        <v>0.0089543461005</v>
      </c>
      <c r="H223" s="12" t="n">
        <f aca="false">(2*Annual_Data!$E$17-Annual_Data!$E$18)+(Annual_Data!$E$17-(2*Annual_Data!$E$17-Annual_Data!$E$18))*D223/12</f>
        <v>20.721</v>
      </c>
      <c r="I223" s="13" t="n">
        <f aca="false">Annual_Data!$F$17*Y223</f>
        <v>2108.90536244596</v>
      </c>
      <c r="J223" s="13" t="n">
        <f aca="false">Annual_Data!$H$17*W223</f>
        <v>6672.43069384414</v>
      </c>
      <c r="K223" s="13" t="n">
        <f aca="false">Annual_Data!$I$17*X223</f>
        <v>4843.339210192</v>
      </c>
      <c r="L223" s="12" t="n">
        <f aca="false">K223*0.0036</f>
        <v>17.4360211566912</v>
      </c>
      <c r="M223" s="14" t="n">
        <f aca="false">K223/(I223*E223/1000)</f>
        <v>76.5537625417605</v>
      </c>
      <c r="N223" s="10" t="n">
        <f aca="false">LN(F223)</f>
        <v>-0.01802201531584</v>
      </c>
      <c r="O223" s="10" t="n">
        <f aca="false">LN(G223)</f>
        <v>-4.71561626673861</v>
      </c>
      <c r="P223" s="10" t="n">
        <f aca="false">LN(I223)</f>
        <v>7.65392430628368</v>
      </c>
      <c r="Q223" s="10" t="n">
        <f aca="false">LN(J223)</f>
        <v>8.80573949438984</v>
      </c>
      <c r="R223" s="10" t="n">
        <f aca="false">LN(M223)</f>
        <v>4.33799327232311</v>
      </c>
      <c r="S223" s="3" t="n">
        <v>0</v>
      </c>
      <c r="T223" s="3" t="s">
        <v>47</v>
      </c>
      <c r="U223" s="15" t="n">
        <v>0.081776803498</v>
      </c>
      <c r="V223" s="15" t="n">
        <v>0.089543461005</v>
      </c>
      <c r="W223" s="15" t="n">
        <v>0.075187400769</v>
      </c>
      <c r="X223" s="15" t="n">
        <v>0.082090495088</v>
      </c>
      <c r="Y223" s="15" t="n">
        <v>1.014384493721</v>
      </c>
    </row>
    <row r="224" customFormat="false" ht="15" hidden="false" customHeight="true" outlineLevel="0" collapsed="false">
      <c r="A224" s="3" t="s">
        <v>22</v>
      </c>
      <c r="B224" s="9" t="n">
        <v>44378</v>
      </c>
      <c r="C224" s="3" t="n">
        <v>2021</v>
      </c>
      <c r="D224" s="3" t="n">
        <v>7</v>
      </c>
      <c r="E224" s="3" t="n">
        <v>31</v>
      </c>
      <c r="F224" s="10" t="n">
        <f aca="false">Annual_Data!$C$17*U224</f>
        <v>1.03943452938064</v>
      </c>
      <c r="G224" s="11" t="n">
        <f aca="false">Annual_Data!$D$17*V224</f>
        <v>0.008894644278</v>
      </c>
      <c r="H224" s="12" t="n">
        <f aca="false">(2*Annual_Data!$E$17-Annual_Data!$E$18)+(Annual_Data!$E$17-(2*Annual_Data!$E$17-Annual_Data!$E$18))*D224/12</f>
        <v>20.7885</v>
      </c>
      <c r="I224" s="13" t="n">
        <f aca="false">Annual_Data!$F$17*Y224</f>
        <v>2095.95898818029</v>
      </c>
      <c r="J224" s="13" t="n">
        <f aca="false">Annual_Data!$H$17*W224</f>
        <v>7685.27923963919</v>
      </c>
      <c r="K224" s="13" t="n">
        <f aca="false">Annual_Data!$I$17*X224</f>
        <v>5114.97997279</v>
      </c>
      <c r="L224" s="12" t="n">
        <f aca="false">K224*0.0036</f>
        <v>18.413927902044</v>
      </c>
      <c r="M224" s="14" t="n">
        <f aca="false">K224/(I224*E224/1000)</f>
        <v>78.7226061633106</v>
      </c>
      <c r="N224" s="10" t="n">
        <f aca="false">LN(F224)</f>
        <v>0.0386768435336237</v>
      </c>
      <c r="O224" s="10" t="n">
        <f aca="false">LN(G224)</f>
        <v>-4.72230594989504</v>
      </c>
      <c r="P224" s="10" t="n">
        <f aca="false">LN(I224)</f>
        <v>7.64776647854162</v>
      </c>
      <c r="Q224" s="10" t="n">
        <f aca="false">LN(J224)</f>
        <v>8.94706199098456</v>
      </c>
      <c r="R224" s="10" t="n">
        <f aca="false">LN(M224)</f>
        <v>4.36593035894535</v>
      </c>
      <c r="S224" s="3" t="n">
        <v>0</v>
      </c>
      <c r="T224" s="3" t="s">
        <v>47</v>
      </c>
      <c r="U224" s="15" t="n">
        <v>0.086547421264</v>
      </c>
      <c r="V224" s="15" t="n">
        <v>0.08894644278</v>
      </c>
      <c r="W224" s="15" t="n">
        <v>0.086600550343</v>
      </c>
      <c r="X224" s="15" t="n">
        <v>0.08669457581</v>
      </c>
      <c r="Y224" s="15" t="n">
        <v>1.008157281472</v>
      </c>
    </row>
    <row r="225" customFormat="false" ht="15" hidden="false" customHeight="true" outlineLevel="0" collapsed="false">
      <c r="A225" s="3" t="s">
        <v>22</v>
      </c>
      <c r="B225" s="9" t="n">
        <v>44409</v>
      </c>
      <c r="C225" s="3" t="n">
        <v>2021</v>
      </c>
      <c r="D225" s="3" t="n">
        <v>8</v>
      </c>
      <c r="E225" s="3" t="n">
        <v>31</v>
      </c>
      <c r="F225" s="10" t="n">
        <f aca="false">Annual_Data!$C$17*U225</f>
        <v>1.04883095491539</v>
      </c>
      <c r="G225" s="11" t="n">
        <f aca="false">Annual_Data!$D$17*V225</f>
        <v>0.0088996769985</v>
      </c>
      <c r="H225" s="12" t="n">
        <f aca="false">(2*Annual_Data!$E$17-Annual_Data!$E$18)+(Annual_Data!$E$17-(2*Annual_Data!$E$17-Annual_Data!$E$18))*D225/12</f>
        <v>20.856</v>
      </c>
      <c r="I225" s="13" t="n">
        <f aca="false">Annual_Data!$F$17*Y225</f>
        <v>2081.88760991072</v>
      </c>
      <c r="J225" s="13" t="n">
        <f aca="false">Annual_Data!$H$17*W225</f>
        <v>7975.92267381463</v>
      </c>
      <c r="K225" s="13" t="n">
        <f aca="false">Annual_Data!$I$17*X225</f>
        <v>5051.449313053</v>
      </c>
      <c r="L225" s="12" t="n">
        <f aca="false">K225*0.0036</f>
        <v>18.1852175269908</v>
      </c>
      <c r="M225" s="14" t="n">
        <f aca="false">K225/(I225*E225/1000)</f>
        <v>78.2703048256323</v>
      </c>
      <c r="N225" s="10" t="n">
        <f aca="false">LN(F225)</f>
        <v>0.0476761676345803</v>
      </c>
      <c r="O225" s="10" t="n">
        <f aca="false">LN(G225)</f>
        <v>-4.721740295206</v>
      </c>
      <c r="P225" s="10" t="n">
        <f aca="false">LN(I225)</f>
        <v>7.64103026592665</v>
      </c>
      <c r="Q225" s="10" t="n">
        <f aca="false">LN(J225)</f>
        <v>8.98418261673693</v>
      </c>
      <c r="R225" s="10" t="n">
        <f aca="false">LN(M225)</f>
        <v>4.36016828234899</v>
      </c>
      <c r="S225" s="3" t="n">
        <v>0</v>
      </c>
      <c r="T225" s="3" t="s">
        <v>47</v>
      </c>
      <c r="U225" s="15" t="n">
        <v>0.087329804739</v>
      </c>
      <c r="V225" s="15" t="n">
        <v>0.088996769985</v>
      </c>
      <c r="W225" s="15" t="n">
        <v>0.089875627353</v>
      </c>
      <c r="X225" s="15" t="n">
        <v>0.085617784967</v>
      </c>
      <c r="Y225" s="15" t="n">
        <v>1.001388941756</v>
      </c>
    </row>
    <row r="226" customFormat="false" ht="15" hidden="false" customHeight="true" outlineLevel="0" collapsed="false">
      <c r="A226" s="3" t="s">
        <v>22</v>
      </c>
      <c r="B226" s="9" t="n">
        <v>44440</v>
      </c>
      <c r="C226" s="3" t="n">
        <v>2021</v>
      </c>
      <c r="D226" s="3" t="n">
        <v>9</v>
      </c>
      <c r="E226" s="3" t="n">
        <v>30</v>
      </c>
      <c r="F226" s="10" t="n">
        <f aca="false">Annual_Data!$C$17*U226</f>
        <v>0.96303549810395</v>
      </c>
      <c r="G226" s="11" t="n">
        <f aca="false">Annual_Data!$D$17*V226</f>
        <v>0.0074951457036</v>
      </c>
      <c r="H226" s="12" t="n">
        <f aca="false">(2*Annual_Data!$E$17-Annual_Data!$E$18)+(Annual_Data!$E$17-(2*Annual_Data!$E$17-Annual_Data!$E$18))*D226/12</f>
        <v>20.9235</v>
      </c>
      <c r="I226" s="13" t="n">
        <f aca="false">Annual_Data!$F$17*Y226</f>
        <v>2090.86779115299</v>
      </c>
      <c r="J226" s="13" t="n">
        <f aca="false">Annual_Data!$H$17*W226</f>
        <v>8186.9506748883</v>
      </c>
      <c r="K226" s="13" t="n">
        <f aca="false">Annual_Data!$I$17*X226</f>
        <v>4752.766907939</v>
      </c>
      <c r="L226" s="12" t="n">
        <f aca="false">K226*0.0036</f>
        <v>17.1099608685804</v>
      </c>
      <c r="M226" s="14" t="n">
        <f aca="false">K226/(I226*E226/1000)</f>
        <v>75.7702444259302</v>
      </c>
      <c r="N226" s="10" t="n">
        <f aca="false">LN(F226)</f>
        <v>-0.0376650058655271</v>
      </c>
      <c r="O226" s="10" t="n">
        <f aca="false">LN(G226)</f>
        <v>-4.8934997075098</v>
      </c>
      <c r="P226" s="10" t="n">
        <f aca="false">LN(I226)</f>
        <v>7.64533446986057</v>
      </c>
      <c r="Q226" s="10" t="n">
        <f aca="false">LN(J226)</f>
        <v>9.01029678454925</v>
      </c>
      <c r="R226" s="10" t="n">
        <f aca="false">LN(M226)</f>
        <v>4.32770566183131</v>
      </c>
      <c r="S226" s="3" t="n">
        <v>0</v>
      </c>
      <c r="T226" s="3" t="s">
        <v>47</v>
      </c>
      <c r="U226" s="15" t="n">
        <v>0.080186136395</v>
      </c>
      <c r="V226" s="15" t="n">
        <v>0.074951457036</v>
      </c>
      <c r="W226" s="15" t="n">
        <v>0.092253568409</v>
      </c>
      <c r="X226" s="15" t="n">
        <v>0.080555371321</v>
      </c>
      <c r="Y226" s="15" t="n">
        <v>1.005708413253</v>
      </c>
    </row>
    <row r="227" customFormat="false" ht="15" hidden="false" customHeight="true" outlineLevel="0" collapsed="false">
      <c r="A227" s="3" t="s">
        <v>22</v>
      </c>
      <c r="B227" s="9" t="n">
        <v>44470</v>
      </c>
      <c r="C227" s="3" t="n">
        <v>2021</v>
      </c>
      <c r="D227" s="3" t="n">
        <v>10</v>
      </c>
      <c r="E227" s="3" t="n">
        <v>31</v>
      </c>
      <c r="F227" s="10" t="n">
        <f aca="false">Annual_Data!$C$17*U227</f>
        <v>0.98233759659295</v>
      </c>
      <c r="G227" s="11" t="n">
        <f aca="false">Annual_Data!$D$17*V227</f>
        <v>0.0069057799861</v>
      </c>
      <c r="H227" s="12" t="n">
        <f aca="false">(2*Annual_Data!$E$17-Annual_Data!$E$18)+(Annual_Data!$E$17-(2*Annual_Data!$E$17-Annual_Data!$E$18))*D227/12</f>
        <v>20.991</v>
      </c>
      <c r="I227" s="13" t="n">
        <f aca="false">Annual_Data!$F$17*Y227</f>
        <v>2068.61171383944</v>
      </c>
      <c r="J227" s="13" t="n">
        <f aca="false">Annual_Data!$H$17*W227</f>
        <v>8630.28324014909</v>
      </c>
      <c r="K227" s="13" t="n">
        <f aca="false">Annual_Data!$I$17*X227</f>
        <v>4802.033857948</v>
      </c>
      <c r="L227" s="12" t="n">
        <f aca="false">K227*0.0036</f>
        <v>17.2873218886128</v>
      </c>
      <c r="M227" s="14" t="n">
        <f aca="false">K227/(I227*E227/1000)</f>
        <v>74.8832257702017</v>
      </c>
      <c r="N227" s="10" t="n">
        <f aca="false">LN(F227)</f>
        <v>-0.0178202449902254</v>
      </c>
      <c r="O227" s="10" t="n">
        <f aca="false">LN(G227)</f>
        <v>-4.97539653889136</v>
      </c>
      <c r="P227" s="10" t="n">
        <f aca="false">LN(I227)</f>
        <v>7.63463299161714</v>
      </c>
      <c r="Q227" s="10" t="n">
        <f aca="false">LN(J227)</f>
        <v>9.06303260395015</v>
      </c>
      <c r="R227" s="10" t="n">
        <f aca="false">LN(M227)</f>
        <v>4.31592991043752</v>
      </c>
      <c r="S227" s="3" t="n">
        <v>0</v>
      </c>
      <c r="T227" s="3" t="s">
        <v>47</v>
      </c>
      <c r="U227" s="15" t="n">
        <v>0.081793305295</v>
      </c>
      <c r="V227" s="15" t="n">
        <v>0.069057799861</v>
      </c>
      <c r="W227" s="15" t="n">
        <v>0.097249202652</v>
      </c>
      <c r="X227" s="15" t="n">
        <v>0.081390404372</v>
      </c>
      <c r="Y227" s="15" t="n">
        <v>0.99500322936</v>
      </c>
    </row>
    <row r="228" customFormat="false" ht="15" hidden="false" customHeight="true" outlineLevel="0" collapsed="false">
      <c r="A228" s="3" t="s">
        <v>22</v>
      </c>
      <c r="B228" s="9" t="n">
        <v>44501</v>
      </c>
      <c r="C228" s="3" t="n">
        <v>2021</v>
      </c>
      <c r="D228" s="3" t="n">
        <v>11</v>
      </c>
      <c r="E228" s="3" t="n">
        <v>30</v>
      </c>
      <c r="F228" s="10" t="n">
        <f aca="false">Annual_Data!$C$17*U228</f>
        <v>0.97918096099757</v>
      </c>
      <c r="G228" s="11" t="n">
        <f aca="false">Annual_Data!$D$17*V228</f>
        <v>0.0066956478739</v>
      </c>
      <c r="H228" s="12" t="n">
        <f aca="false">(2*Annual_Data!$E$17-Annual_Data!$E$18)+(Annual_Data!$E$17-(2*Annual_Data!$E$17-Annual_Data!$E$18))*D228/12</f>
        <v>21.0585</v>
      </c>
      <c r="I228" s="13" t="n">
        <f aca="false">Annual_Data!$F$17*Y228</f>
        <v>2051.90269057759</v>
      </c>
      <c r="J228" s="13" t="n">
        <f aca="false">Annual_Data!$H$17*W228</f>
        <v>9077.28133737126</v>
      </c>
      <c r="K228" s="13" t="n">
        <f aca="false">Annual_Data!$I$17*X228</f>
        <v>4803.943192643</v>
      </c>
      <c r="L228" s="12" t="n">
        <f aca="false">K228*0.0036</f>
        <v>17.2941954935148</v>
      </c>
      <c r="M228" s="14" t="n">
        <f aca="false">K228/(I228*E228/1000)</f>
        <v>78.0404648281306</v>
      </c>
      <c r="N228" s="10" t="n">
        <f aca="false">LN(F228)</f>
        <v>-0.0210388108387855</v>
      </c>
      <c r="O228" s="10" t="n">
        <f aca="false">LN(G228)</f>
        <v>-5.0062975347076</v>
      </c>
      <c r="P228" s="10" t="n">
        <f aca="false">LN(I228)</f>
        <v>7.6265227834204</v>
      </c>
      <c r="Q228" s="10" t="n">
        <f aca="false">LN(J228)</f>
        <v>9.11353001457878</v>
      </c>
      <c r="R228" s="10" t="n">
        <f aca="false">LN(M228)</f>
        <v>4.35722747201768</v>
      </c>
      <c r="S228" s="3" t="n">
        <v>0</v>
      </c>
      <c r="T228" s="3" t="s">
        <v>47</v>
      </c>
      <c r="U228" s="15" t="n">
        <v>0.081530471357</v>
      </c>
      <c r="V228" s="15" t="n">
        <v>0.066956478739</v>
      </c>
      <c r="W228" s="15" t="n">
        <v>0.102286141456</v>
      </c>
      <c r="X228" s="15" t="n">
        <v>0.081422765977</v>
      </c>
      <c r="Y228" s="15" t="n">
        <v>0.986966181134</v>
      </c>
    </row>
    <row r="229" customFormat="false" ht="15" hidden="false" customHeight="true" outlineLevel="0" collapsed="false">
      <c r="A229" s="3" t="s">
        <v>22</v>
      </c>
      <c r="B229" s="9" t="n">
        <v>44531</v>
      </c>
      <c r="C229" s="3" t="n">
        <v>2021</v>
      </c>
      <c r="D229" s="3" t="n">
        <v>12</v>
      </c>
      <c r="E229" s="3" t="n">
        <v>31</v>
      </c>
      <c r="F229" s="10" t="n">
        <f aca="false">Annual_Data!$C$17*U229</f>
        <v>1.01785172225962</v>
      </c>
      <c r="G229" s="11" t="n">
        <f aca="false">Annual_Data!$D$17*V229</f>
        <v>0.0069212095635</v>
      </c>
      <c r="H229" s="12" t="n">
        <f aca="false">(2*Annual_Data!$E$17-Annual_Data!$E$18)+(Annual_Data!$E$17-(2*Annual_Data!$E$17-Annual_Data!$E$18))*D229/12</f>
        <v>21.126</v>
      </c>
      <c r="I229" s="13" t="n">
        <f aca="false">Annual_Data!$F$17*Y229</f>
        <v>2038.59847937246</v>
      </c>
      <c r="J229" s="13" t="n">
        <f aca="false">Annual_Data!$H$17*W229</f>
        <v>10047.7348738991</v>
      </c>
      <c r="K229" s="13" t="n">
        <f aca="false">Annual_Data!$I$17*X229</f>
        <v>5053.478224346</v>
      </c>
      <c r="L229" s="12" t="n">
        <f aca="false">K229*0.0036</f>
        <v>18.1925216076456</v>
      </c>
      <c r="M229" s="14" t="n">
        <f aca="false">K229/(I229*E229/1000)</f>
        <v>79.9644600156809</v>
      </c>
      <c r="N229" s="10" t="n">
        <f aca="false">LN(F229)</f>
        <v>0.0176942515858996</v>
      </c>
      <c r="O229" s="10" t="n">
        <f aca="false">LN(G229)</f>
        <v>-4.97316473221368</v>
      </c>
      <c r="P229" s="10" t="n">
        <f aca="false">LN(I229)</f>
        <v>7.62001783081647</v>
      </c>
      <c r="Q229" s="10" t="n">
        <f aca="false">LN(J229)</f>
        <v>9.21510250240237</v>
      </c>
      <c r="R229" s="10" t="n">
        <f aca="false">LN(M229)</f>
        <v>4.38158228616171</v>
      </c>
      <c r="S229" s="3" t="n">
        <v>0</v>
      </c>
      <c r="T229" s="3" t="s">
        <v>47</v>
      </c>
      <c r="U229" s="15" t="n">
        <v>0.084750351562</v>
      </c>
      <c r="V229" s="15" t="n">
        <v>0.069212095635</v>
      </c>
      <c r="W229" s="15" t="n">
        <v>0.113221568488</v>
      </c>
      <c r="X229" s="15" t="n">
        <v>0.085652173294</v>
      </c>
      <c r="Y229" s="15" t="n">
        <v>0.980566849145</v>
      </c>
    </row>
    <row r="230" customFormat="false" ht="15" hidden="false" customHeight="true" outlineLevel="0" collapsed="false">
      <c r="A230" s="3" t="s">
        <v>22</v>
      </c>
      <c r="B230" s="9" t="n">
        <v>44562</v>
      </c>
      <c r="C230" s="3" t="n">
        <v>2022</v>
      </c>
      <c r="D230" s="3" t="n">
        <v>1</v>
      </c>
      <c r="E230" s="3" t="n">
        <v>31</v>
      </c>
      <c r="F230" s="10" t="n">
        <f aca="false">Annual_Data!$C$18*U230</f>
        <v>1.00470477064749</v>
      </c>
      <c r="G230" s="11" t="n">
        <f aca="false">Annual_Data!$D$18*V230</f>
        <v>0.00650926754177</v>
      </c>
      <c r="H230" s="12" t="n">
        <f aca="false">Annual_Data!$E$17+(Annual_Data!$E$18-Annual_Data!$E$17)*D230/12</f>
        <v>21.1935</v>
      </c>
      <c r="I230" s="13" t="n">
        <f aca="false">Annual_Data!$F$18*Y230</f>
        <v>2049.95957456534</v>
      </c>
      <c r="J230" s="13" t="n">
        <f aca="false">Annual_Data!$H$18*W230</f>
        <v>11216.0511887433</v>
      </c>
      <c r="K230" s="13" t="n">
        <f aca="false">Annual_Data!$I$18*X230</f>
        <v>4944.471488432</v>
      </c>
      <c r="L230" s="12" t="n">
        <f aca="false">K230*0.0036</f>
        <v>17.8000973583552</v>
      </c>
      <c r="M230" s="14" t="n">
        <f aca="false">K230/(I230*E230/1000)</f>
        <v>77.8059637131232</v>
      </c>
      <c r="N230" s="10" t="n">
        <f aca="false">LN(F230)</f>
        <v>0.00469373780519576</v>
      </c>
      <c r="O230" s="10" t="n">
        <f aca="false">LN(G230)</f>
        <v>-5.03452834187664</v>
      </c>
      <c r="P230" s="10" t="n">
        <f aca="false">LN(I230)</f>
        <v>7.62557535221379</v>
      </c>
      <c r="Q230" s="10" t="n">
        <f aca="false">LN(J230)</f>
        <v>9.3251011731676</v>
      </c>
      <c r="R230" s="10" t="n">
        <f aca="false">LN(M230)</f>
        <v>4.35421808265687</v>
      </c>
      <c r="S230" s="3" t="n">
        <v>0</v>
      </c>
      <c r="T230" s="3" t="s">
        <v>47</v>
      </c>
      <c r="U230" s="15" t="n">
        <v>0.088364535677</v>
      </c>
      <c r="V230" s="15" t="n">
        <v>0.092989536311</v>
      </c>
      <c r="W230" s="15" t="n">
        <v>0.075273490569</v>
      </c>
      <c r="X230" s="15" t="n">
        <v>0.088294133722</v>
      </c>
      <c r="Y230" s="15" t="n">
        <v>1.005374975265</v>
      </c>
    </row>
    <row r="231" customFormat="false" ht="15" hidden="false" customHeight="true" outlineLevel="0" collapsed="false">
      <c r="A231" s="3" t="s">
        <v>22</v>
      </c>
      <c r="B231" s="9" t="n">
        <v>44593</v>
      </c>
      <c r="C231" s="3" t="n">
        <v>2022</v>
      </c>
      <c r="D231" s="3" t="n">
        <v>2</v>
      </c>
      <c r="E231" s="3" t="n">
        <v>28</v>
      </c>
      <c r="F231" s="10" t="n">
        <f aca="false">Annual_Data!$C$18*U231</f>
        <v>0.88122263159058</v>
      </c>
      <c r="G231" s="11" t="n">
        <f aca="false">Annual_Data!$D$18*V231</f>
        <v>0.00534807366884</v>
      </c>
      <c r="H231" s="12" t="n">
        <f aca="false">Annual_Data!$E$17+(Annual_Data!$E$18-Annual_Data!$E$17)*D231/12</f>
        <v>21.261</v>
      </c>
      <c r="I231" s="13" t="n">
        <f aca="false">Annual_Data!$F$18*Y231</f>
        <v>2028.83357228067</v>
      </c>
      <c r="J231" s="13" t="n">
        <f aca="false">Annual_Data!$H$18*W231</f>
        <v>10590.6021088607</v>
      </c>
      <c r="K231" s="13" t="n">
        <f aca="false">Annual_Data!$I$18*X231</f>
        <v>4334.129624832</v>
      </c>
      <c r="L231" s="12" t="n">
        <f aca="false">K231*0.0036</f>
        <v>15.6028666493952</v>
      </c>
      <c r="M231" s="14" t="n">
        <f aca="false">K231/(I231*E231/1000)</f>
        <v>76.2952397174676</v>
      </c>
      <c r="N231" s="10" t="n">
        <f aca="false">LN(F231)</f>
        <v>-0.126444981689032</v>
      </c>
      <c r="O231" s="10" t="n">
        <f aca="false">LN(G231)</f>
        <v>-5.23101884481114</v>
      </c>
      <c r="P231" s="10" t="n">
        <f aca="false">LN(I231)</f>
        <v>7.61521631195727</v>
      </c>
      <c r="Q231" s="10" t="n">
        <f aca="false">LN(J231)</f>
        <v>9.26772229333997</v>
      </c>
      <c r="R231" s="10" t="n">
        <f aca="false">LN(M231)</f>
        <v>4.33461054732012</v>
      </c>
      <c r="S231" s="3" t="n">
        <v>0</v>
      </c>
      <c r="T231" s="3" t="s">
        <v>47</v>
      </c>
      <c r="U231" s="15" t="n">
        <v>0.077504189234</v>
      </c>
      <c r="V231" s="15" t="n">
        <v>0.076401052412</v>
      </c>
      <c r="W231" s="15" t="n">
        <v>0.071075958423</v>
      </c>
      <c r="X231" s="15" t="n">
        <v>0.077395171872</v>
      </c>
      <c r="Y231" s="15" t="n">
        <v>0.995014012889</v>
      </c>
    </row>
    <row r="232" customFormat="false" ht="15" hidden="false" customHeight="true" outlineLevel="0" collapsed="false">
      <c r="A232" s="3" t="s">
        <v>22</v>
      </c>
      <c r="B232" s="9" t="n">
        <v>44621</v>
      </c>
      <c r="C232" s="3" t="n">
        <v>2022</v>
      </c>
      <c r="D232" s="3" t="n">
        <v>3</v>
      </c>
      <c r="E232" s="3" t="n">
        <v>31</v>
      </c>
      <c r="F232" s="10" t="n">
        <f aca="false">Annual_Data!$C$18*U232</f>
        <v>0.95483888100348</v>
      </c>
      <c r="G232" s="11" t="n">
        <f aca="false">Annual_Data!$D$18*V232</f>
        <v>0.00538378526504</v>
      </c>
      <c r="H232" s="12" t="n">
        <f aca="false">Annual_Data!$E$17+(Annual_Data!$E$18-Annual_Data!$E$17)*D232/12</f>
        <v>21.3285</v>
      </c>
      <c r="I232" s="13" t="n">
        <f aca="false">Annual_Data!$F$18*Y232</f>
        <v>2018.081508087</v>
      </c>
      <c r="J232" s="13" t="n">
        <f aca="false">Annual_Data!$H$18*W232</f>
        <v>12342.8435682391</v>
      </c>
      <c r="K232" s="13" t="n">
        <f aca="false">Annual_Data!$I$18*X232</f>
        <v>4681.849416328</v>
      </c>
      <c r="L232" s="12" t="n">
        <f aca="false">K232*0.0036</f>
        <v>16.8546578987808</v>
      </c>
      <c r="M232" s="14" t="n">
        <f aca="false">K232/(I232*E232/1000)</f>
        <v>74.8371163015478</v>
      </c>
      <c r="N232" s="10" t="n">
        <f aca="false">LN(F232)</f>
        <v>-0.0462126637258275</v>
      </c>
      <c r="O232" s="10" t="n">
        <f aca="false">LN(G232)</f>
        <v>-5.22436357134297</v>
      </c>
      <c r="P232" s="10" t="n">
        <f aca="false">LN(I232)</f>
        <v>7.60990259062662</v>
      </c>
      <c r="Q232" s="10" t="n">
        <f aca="false">LN(J232)</f>
        <v>9.42083170594079</v>
      </c>
      <c r="R232" s="10" t="n">
        <f aca="false">LN(M232)</f>
        <v>4.31531396915027</v>
      </c>
      <c r="S232" s="3" t="n">
        <v>0</v>
      </c>
      <c r="T232" s="3" t="s">
        <v>47</v>
      </c>
      <c r="U232" s="15" t="n">
        <v>0.083978793404</v>
      </c>
      <c r="V232" s="15" t="n">
        <v>0.076911218072</v>
      </c>
      <c r="W232" s="15" t="n">
        <v>0.082835652521</v>
      </c>
      <c r="X232" s="15" t="n">
        <v>0.083604453863</v>
      </c>
      <c r="Y232" s="15" t="n">
        <v>0.989740808282</v>
      </c>
    </row>
    <row r="233" customFormat="false" ht="15" hidden="false" customHeight="true" outlineLevel="0" collapsed="false">
      <c r="A233" s="3" t="s">
        <v>22</v>
      </c>
      <c r="B233" s="9" t="n">
        <v>44652</v>
      </c>
      <c r="C233" s="3" t="n">
        <v>2022</v>
      </c>
      <c r="D233" s="3" t="n">
        <v>4</v>
      </c>
      <c r="E233" s="3" t="n">
        <v>30</v>
      </c>
      <c r="F233" s="10" t="n">
        <f aca="false">Annual_Data!$C$18*U233</f>
        <v>0.90903228861183</v>
      </c>
      <c r="G233" s="11" t="n">
        <f aca="false">Annual_Data!$D$18*V233</f>
        <v>0.00453943082089</v>
      </c>
      <c r="H233" s="12" t="n">
        <f aca="false">Annual_Data!$E$17+(Annual_Data!$E$18-Annual_Data!$E$17)*D233/12</f>
        <v>21.396</v>
      </c>
      <c r="I233" s="13" t="n">
        <f aca="false">Annual_Data!$F$18*Y233</f>
        <v>2025.0151810822</v>
      </c>
      <c r="J233" s="13" t="n">
        <f aca="false">Annual_Data!$H$18*W233</f>
        <v>12690.3637517265</v>
      </c>
      <c r="K233" s="13" t="n">
        <f aca="false">Annual_Data!$I$18*X233</f>
        <v>4470.462198664</v>
      </c>
      <c r="L233" s="12" t="n">
        <f aca="false">K233*0.0036</f>
        <v>16.0936639151904</v>
      </c>
      <c r="M233" s="14" t="n">
        <f aca="false">K233/(I233*E233/1000)</f>
        <v>73.5873034504843</v>
      </c>
      <c r="N233" s="10" t="n">
        <f aca="false">LN(F233)</f>
        <v>-0.0953746644103996</v>
      </c>
      <c r="O233" s="10" t="n">
        <f aca="false">LN(G233)</f>
        <v>-5.39495364463635</v>
      </c>
      <c r="P233" s="10" t="n">
        <f aca="false">LN(I233)</f>
        <v>7.61333247634326</v>
      </c>
      <c r="Q233" s="10" t="n">
        <f aca="false">LN(J233)</f>
        <v>9.44859822473627</v>
      </c>
      <c r="R233" s="10" t="n">
        <f aca="false">LN(M233)</f>
        <v>4.29847250338746</v>
      </c>
      <c r="S233" s="3" t="n">
        <v>0</v>
      </c>
      <c r="T233" s="3" t="s">
        <v>47</v>
      </c>
      <c r="U233" s="15" t="n">
        <v>0.079950069359</v>
      </c>
      <c r="V233" s="15" t="n">
        <v>0.064849011727</v>
      </c>
      <c r="W233" s="15" t="n">
        <v>0.085167940134</v>
      </c>
      <c r="X233" s="15" t="n">
        <v>0.079829682119</v>
      </c>
      <c r="Y233" s="15" t="n">
        <v>0.993141334518</v>
      </c>
    </row>
    <row r="234" customFormat="false" ht="15" hidden="false" customHeight="true" outlineLevel="0" collapsed="false">
      <c r="A234" s="3" t="s">
        <v>22</v>
      </c>
      <c r="B234" s="9" t="n">
        <v>44682</v>
      </c>
      <c r="C234" s="3" t="n">
        <v>2022</v>
      </c>
      <c r="D234" s="3" t="n">
        <v>5</v>
      </c>
      <c r="E234" s="3" t="n">
        <v>31</v>
      </c>
      <c r="F234" s="10" t="n">
        <f aca="false">Annual_Data!$C$18*U234</f>
        <v>0.93870124023258</v>
      </c>
      <c r="G234" s="11" t="n">
        <f aca="false">Annual_Data!$D$18*V234</f>
        <v>0.00503867310828</v>
      </c>
      <c r="H234" s="12" t="n">
        <f aca="false">Annual_Data!$E$17+(Annual_Data!$E$18-Annual_Data!$E$17)*D234/12</f>
        <v>21.4635</v>
      </c>
      <c r="I234" s="13" t="n">
        <f aca="false">Annual_Data!$F$18*Y234</f>
        <v>2038.33563227929</v>
      </c>
      <c r="J234" s="13" t="n">
        <f aca="false">Annual_Data!$H$18*W234</f>
        <v>12793.684594804</v>
      </c>
      <c r="K234" s="13" t="n">
        <f aca="false">Annual_Data!$I$18*X234</f>
        <v>4572.804813528</v>
      </c>
      <c r="L234" s="12" t="n">
        <f aca="false">K234*0.0036</f>
        <v>16.4620973287008</v>
      </c>
      <c r="M234" s="14" t="n">
        <f aca="false">K234/(I234*E234/1000)</f>
        <v>72.3677839696617</v>
      </c>
      <c r="N234" s="10" t="n">
        <f aca="false">LN(F234)</f>
        <v>-0.063258018416478</v>
      </c>
      <c r="O234" s="10" t="n">
        <f aca="false">LN(G234)</f>
        <v>-5.29061250372773</v>
      </c>
      <c r="P234" s="10" t="n">
        <f aca="false">LN(I234)</f>
        <v>7.61988888730827</v>
      </c>
      <c r="Q234" s="10" t="n">
        <f aca="false">LN(J234)</f>
        <v>9.45670693711936</v>
      </c>
      <c r="R234" s="10" t="n">
        <f aca="false">LN(M234)</f>
        <v>4.28176122756717</v>
      </c>
      <c r="S234" s="3" t="n">
        <v>0</v>
      </c>
      <c r="T234" s="3" t="s">
        <v>47</v>
      </c>
      <c r="U234" s="15" t="n">
        <v>0.082559475834</v>
      </c>
      <c r="V234" s="15" t="n">
        <v>0.071981044404</v>
      </c>
      <c r="W234" s="15" t="n">
        <v>0.085861349996</v>
      </c>
      <c r="X234" s="15" t="n">
        <v>0.081657228813</v>
      </c>
      <c r="Y234" s="15" t="n">
        <v>0.999674169828</v>
      </c>
    </row>
    <row r="235" customFormat="false" ht="15" hidden="false" customHeight="true" outlineLevel="0" collapsed="false">
      <c r="A235" s="3" t="s">
        <v>22</v>
      </c>
      <c r="B235" s="9" t="n">
        <v>44713</v>
      </c>
      <c r="C235" s="3" t="n">
        <v>2022</v>
      </c>
      <c r="D235" s="3" t="n">
        <v>6</v>
      </c>
      <c r="E235" s="3" t="n">
        <v>30</v>
      </c>
      <c r="F235" s="10" t="n">
        <f aca="false">Annual_Data!$C$18*U235</f>
        <v>0.91657644318978</v>
      </c>
      <c r="G235" s="11" t="n">
        <f aca="false">Annual_Data!$D$18*V235</f>
        <v>0.00486224382952</v>
      </c>
      <c r="H235" s="12" t="n">
        <f aca="false">Annual_Data!$E$17+(Annual_Data!$E$18-Annual_Data!$E$17)*D235/12</f>
        <v>21.531</v>
      </c>
      <c r="I235" s="13" t="n">
        <f aca="false">Annual_Data!$F$18*Y235</f>
        <v>2024.30006028421</v>
      </c>
      <c r="J235" s="13" t="n">
        <f aca="false">Annual_Data!$H$18*W235</f>
        <v>12602.8591367024</v>
      </c>
      <c r="K235" s="13" t="n">
        <f aca="false">Annual_Data!$I$18*X235</f>
        <v>4512.97322056</v>
      </c>
      <c r="L235" s="12" t="n">
        <f aca="false">K235*0.0036</f>
        <v>16.246703594016</v>
      </c>
      <c r="M235" s="14" t="n">
        <f aca="false">K235/(I235*E235/1000)</f>
        <v>74.3133113695666</v>
      </c>
      <c r="N235" s="10" t="n">
        <f aca="false">LN(F235)</f>
        <v>-0.0871098074448973</v>
      </c>
      <c r="O235" s="10" t="n">
        <f aca="false">LN(G235)</f>
        <v>-5.32625525430043</v>
      </c>
      <c r="P235" s="10" t="n">
        <f aca="false">LN(I235)</f>
        <v>7.61297927054781</v>
      </c>
      <c r="Q235" s="10" t="n">
        <f aca="false">LN(J235)</f>
        <v>9.44167898280942</v>
      </c>
      <c r="R235" s="10" t="n">
        <f aca="false">LN(M235)</f>
        <v>4.30829009273712</v>
      </c>
      <c r="S235" s="3" t="n">
        <v>0</v>
      </c>
      <c r="T235" s="3" t="s">
        <v>47</v>
      </c>
      <c r="U235" s="15" t="n">
        <v>0.080613583394</v>
      </c>
      <c r="V235" s="15" t="n">
        <v>0.069460626136</v>
      </c>
      <c r="W235" s="15" t="n">
        <v>0.084580676604</v>
      </c>
      <c r="X235" s="15" t="n">
        <v>0.08058880751</v>
      </c>
      <c r="Y235" s="15" t="n">
        <v>0.992790613185</v>
      </c>
    </row>
    <row r="236" customFormat="false" ht="15" hidden="false" customHeight="true" outlineLevel="0" collapsed="false">
      <c r="A236" s="3" t="s">
        <v>22</v>
      </c>
      <c r="B236" s="9" t="n">
        <v>44743</v>
      </c>
      <c r="C236" s="3" t="n">
        <v>2022</v>
      </c>
      <c r="D236" s="3" t="n">
        <v>7</v>
      </c>
      <c r="E236" s="3" t="n">
        <v>31</v>
      </c>
      <c r="F236" s="10" t="n">
        <f aca="false">Annual_Data!$C$18*U236</f>
        <v>0.97047529092402</v>
      </c>
      <c r="G236" s="11" t="n">
        <f aca="false">Annual_Data!$D$18*V236</f>
        <v>0.00547779905799</v>
      </c>
      <c r="H236" s="12" t="n">
        <f aca="false">Annual_Data!$E$17+(Annual_Data!$E$18-Annual_Data!$E$17)*D236/12</f>
        <v>21.5985</v>
      </c>
      <c r="I236" s="13" t="n">
        <f aca="false">Annual_Data!$F$18*Y236</f>
        <v>2008.60838213862</v>
      </c>
      <c r="J236" s="13" t="n">
        <f aca="false">Annual_Data!$H$18*W236</f>
        <v>13154.8872328568</v>
      </c>
      <c r="K236" s="13" t="n">
        <f aca="false">Annual_Data!$I$18*X236</f>
        <v>4788.184847992</v>
      </c>
      <c r="L236" s="12" t="n">
        <f aca="false">K236*0.0036</f>
        <v>17.2374654527712</v>
      </c>
      <c r="M236" s="14" t="n">
        <f aca="false">K236/(I236*E236/1000)</f>
        <v>76.8978050251996</v>
      </c>
      <c r="N236" s="10" t="n">
        <f aca="false">LN(F236)</f>
        <v>-0.0299693368476046</v>
      </c>
      <c r="O236" s="10" t="n">
        <f aca="false">LN(G236)</f>
        <v>-5.2070518904515</v>
      </c>
      <c r="P236" s="10" t="n">
        <f aca="false">LN(I236)</f>
        <v>7.60519741407541</v>
      </c>
      <c r="Q236" s="10" t="n">
        <f aca="false">LN(J236)</f>
        <v>9.48454862124889</v>
      </c>
      <c r="R236" s="10" t="n">
        <f aca="false">LN(M236)</f>
        <v>4.34247733286886</v>
      </c>
      <c r="S236" s="3" t="n">
        <v>0</v>
      </c>
      <c r="T236" s="3" t="s">
        <v>47</v>
      </c>
      <c r="U236" s="15" t="n">
        <v>0.085354027346</v>
      </c>
      <c r="V236" s="15" t="n">
        <v>0.078254272257</v>
      </c>
      <c r="W236" s="15" t="n">
        <v>0.088285463698</v>
      </c>
      <c r="X236" s="15" t="n">
        <v>0.085503300857</v>
      </c>
      <c r="Y236" s="15" t="n">
        <v>0.985094841657</v>
      </c>
    </row>
    <row r="237" customFormat="false" ht="15" hidden="false" customHeight="true" outlineLevel="0" collapsed="false">
      <c r="A237" s="3" t="s">
        <v>22</v>
      </c>
      <c r="B237" s="9" t="n">
        <v>44774</v>
      </c>
      <c r="C237" s="3" t="n">
        <v>2022</v>
      </c>
      <c r="D237" s="3" t="n">
        <v>8</v>
      </c>
      <c r="E237" s="3" t="n">
        <v>31</v>
      </c>
      <c r="F237" s="10" t="n">
        <f aca="false">Annual_Data!$C$18*U237</f>
        <v>0.96882574955013</v>
      </c>
      <c r="G237" s="11" t="n">
        <f aca="false">Annual_Data!$D$18*V237</f>
        <v>0.00611356232459</v>
      </c>
      <c r="H237" s="12" t="n">
        <f aca="false">Annual_Data!$E$17+(Annual_Data!$E$18-Annual_Data!$E$17)*D237/12</f>
        <v>21.666</v>
      </c>
      <c r="I237" s="13" t="n">
        <f aca="false">Annual_Data!$F$18*Y237</f>
        <v>2028.52974695262</v>
      </c>
      <c r="J237" s="13" t="n">
        <f aca="false">Annual_Data!$H$18*W237</f>
        <v>13532.9907334989</v>
      </c>
      <c r="K237" s="13" t="n">
        <f aca="false">Annual_Data!$I$18*X237</f>
        <v>4751.479216904</v>
      </c>
      <c r="L237" s="12" t="n">
        <f aca="false">K237*0.0036</f>
        <v>17.1053251808544</v>
      </c>
      <c r="M237" s="14" t="n">
        <f aca="false">K237/(I237*E237/1000)</f>
        <v>75.5589230851519</v>
      </c>
      <c r="N237" s="10" t="n">
        <f aca="false">LN(F237)</f>
        <v>-0.0316705082874951</v>
      </c>
      <c r="O237" s="10" t="n">
        <f aca="false">LN(G237)</f>
        <v>-5.09724564384788</v>
      </c>
      <c r="P237" s="10" t="n">
        <f aca="false">LN(I237)</f>
        <v>7.61506654704606</v>
      </c>
      <c r="Q237" s="10" t="n">
        <f aca="false">LN(J237)</f>
        <v>9.51288574134257</v>
      </c>
      <c r="R237" s="10" t="n">
        <f aca="false">LN(M237)</f>
        <v>4.32491279008537</v>
      </c>
      <c r="S237" s="3" t="n">
        <v>0</v>
      </c>
      <c r="T237" s="3" t="s">
        <v>47</v>
      </c>
      <c r="U237" s="15" t="n">
        <v>0.085208948949</v>
      </c>
      <c r="V237" s="15" t="n">
        <v>0.087336604637</v>
      </c>
      <c r="W237" s="15" t="n">
        <v>0.090823002963</v>
      </c>
      <c r="X237" s="15" t="n">
        <v>0.084847843159</v>
      </c>
      <c r="Y237" s="15" t="n">
        <v>0.994865005862</v>
      </c>
    </row>
    <row r="238" customFormat="false" ht="15" hidden="false" customHeight="true" outlineLevel="0" collapsed="false">
      <c r="A238" s="3" t="s">
        <v>22</v>
      </c>
      <c r="B238" s="9" t="n">
        <v>44805</v>
      </c>
      <c r="C238" s="3" t="n">
        <v>2022</v>
      </c>
      <c r="D238" s="3" t="n">
        <v>9</v>
      </c>
      <c r="E238" s="3" t="n">
        <v>30</v>
      </c>
      <c r="F238" s="10" t="n">
        <f aca="false">Annual_Data!$C$18*U238</f>
        <v>0.91781347986078</v>
      </c>
      <c r="G238" s="11" t="n">
        <f aca="false">Annual_Data!$D$18*V238</f>
        <v>0.00590949709546</v>
      </c>
      <c r="H238" s="12" t="n">
        <f aca="false">Annual_Data!$E$17+(Annual_Data!$E$18-Annual_Data!$E$17)*D238/12</f>
        <v>21.7335</v>
      </c>
      <c r="I238" s="13" t="n">
        <f aca="false">Annual_Data!$F$18*Y238</f>
        <v>2052.08541954731</v>
      </c>
      <c r="J238" s="13" t="n">
        <f aca="false">Annual_Data!$H$18*W238</f>
        <v>12961.3449484662</v>
      </c>
      <c r="K238" s="13" t="n">
        <f aca="false">Annual_Data!$I$18*X238</f>
        <v>4507.402520264</v>
      </c>
      <c r="L238" s="12" t="n">
        <f aca="false">K238*0.0036</f>
        <v>16.2266490729504</v>
      </c>
      <c r="M238" s="14" t="n">
        <f aca="false">K238/(I238*E238/1000)</f>
        <v>73.2166162501224</v>
      </c>
      <c r="N238" s="10" t="n">
        <f aca="false">LN(F238)</f>
        <v>-0.0857610899852407</v>
      </c>
      <c r="O238" s="10" t="n">
        <f aca="false">LN(G238)</f>
        <v>-5.13119454501561</v>
      </c>
      <c r="P238" s="10" t="n">
        <f aca="false">LN(I238)</f>
        <v>7.62661183288396</v>
      </c>
      <c r="Q238" s="10" t="n">
        <f aca="false">LN(J238)</f>
        <v>9.46972674140964</v>
      </c>
      <c r="R238" s="10" t="n">
        <f aca="false">LN(M238)</f>
        <v>4.29342239315962</v>
      </c>
      <c r="S238" s="3" t="n">
        <v>0</v>
      </c>
      <c r="T238" s="3" t="s">
        <v>47</v>
      </c>
      <c r="U238" s="15" t="n">
        <v>0.080722381694</v>
      </c>
      <c r="V238" s="15" t="n">
        <v>0.084421387078</v>
      </c>
      <c r="W238" s="15" t="n">
        <v>0.086986557062</v>
      </c>
      <c r="X238" s="15" t="n">
        <v>0.080489330719</v>
      </c>
      <c r="Y238" s="15" t="n">
        <v>1.006417567213</v>
      </c>
    </row>
    <row r="239" customFormat="false" ht="15" hidden="false" customHeight="true" outlineLevel="0" collapsed="false">
      <c r="A239" s="3" t="s">
        <v>22</v>
      </c>
      <c r="B239" s="9" t="n">
        <v>44835</v>
      </c>
      <c r="C239" s="3" t="n">
        <v>2022</v>
      </c>
      <c r="D239" s="3" t="n">
        <v>10</v>
      </c>
      <c r="E239" s="3" t="n">
        <v>31</v>
      </c>
      <c r="F239" s="10" t="n">
        <f aca="false">Annual_Data!$C$18*U239</f>
        <v>0.95342940096597</v>
      </c>
      <c r="G239" s="11" t="n">
        <f aca="false">Annual_Data!$D$18*V239</f>
        <v>0.00602653168642</v>
      </c>
      <c r="H239" s="12" t="n">
        <f aca="false">Annual_Data!$E$17+(Annual_Data!$E$18-Annual_Data!$E$17)*D239/12</f>
        <v>21.801</v>
      </c>
      <c r="I239" s="13" t="n">
        <f aca="false">Annual_Data!$F$18*Y239</f>
        <v>2072.97167673192</v>
      </c>
      <c r="J239" s="13" t="n">
        <f aca="false">Annual_Data!$H$18*W239</f>
        <v>12930.8239421024</v>
      </c>
      <c r="K239" s="13" t="n">
        <f aca="false">Annual_Data!$I$18*X239</f>
        <v>4733.700320776</v>
      </c>
      <c r="L239" s="12" t="n">
        <f aca="false">K239*0.0036</f>
        <v>17.0413211547936</v>
      </c>
      <c r="M239" s="14" t="n">
        <f aca="false">K239/(I239*E239/1000)</f>
        <v>73.662371783269</v>
      </c>
      <c r="N239" s="10" t="n">
        <f aca="false">LN(F239)</f>
        <v>-0.047689898669304</v>
      </c>
      <c r="O239" s="10" t="n">
        <f aca="false">LN(G239)</f>
        <v>-5.11158361010186</v>
      </c>
      <c r="P239" s="10" t="n">
        <f aca="false">LN(I239)</f>
        <v>7.63673844940559</v>
      </c>
      <c r="Q239" s="10" t="n">
        <f aca="false">LN(J239)</f>
        <v>9.46736919302277</v>
      </c>
      <c r="R239" s="10" t="n">
        <f aca="false">LN(M239)</f>
        <v>4.29949210956546</v>
      </c>
      <c r="S239" s="3" t="n">
        <v>0</v>
      </c>
      <c r="T239" s="3" t="s">
        <v>47</v>
      </c>
      <c r="U239" s="15" t="n">
        <v>0.083854828581</v>
      </c>
      <c r="V239" s="15" t="n">
        <v>0.086093309806</v>
      </c>
      <c r="W239" s="15" t="n">
        <v>0.086781723592</v>
      </c>
      <c r="X239" s="15" t="n">
        <v>0.084530362871</v>
      </c>
      <c r="Y239" s="15" t="n">
        <v>1.016660949844</v>
      </c>
    </row>
    <row r="240" customFormat="false" ht="15" hidden="false" customHeight="true" outlineLevel="0" collapsed="false">
      <c r="A240" s="3" t="s">
        <v>22</v>
      </c>
      <c r="B240" s="9" t="n">
        <v>44866</v>
      </c>
      <c r="C240" s="3" t="n">
        <v>2022</v>
      </c>
      <c r="D240" s="3" t="n">
        <v>11</v>
      </c>
      <c r="E240" s="3" t="n">
        <v>30</v>
      </c>
      <c r="F240" s="10" t="n">
        <f aca="false">Annual_Data!$C$18*U240</f>
        <v>0.95183013053487</v>
      </c>
      <c r="G240" s="11" t="n">
        <f aca="false">Annual_Data!$D$18*V240</f>
        <v>0.00663333870577</v>
      </c>
      <c r="H240" s="12" t="n">
        <f aca="false">Annual_Data!$E$17+(Annual_Data!$E$18-Annual_Data!$E$17)*D240/12</f>
        <v>21.8685</v>
      </c>
      <c r="I240" s="13" t="n">
        <f aca="false">Annual_Data!$F$18*Y240</f>
        <v>2058.7623116627</v>
      </c>
      <c r="J240" s="13" t="n">
        <f aca="false">Annual_Data!$H$18*W240</f>
        <v>12072.3937713188</v>
      </c>
      <c r="K240" s="13" t="n">
        <f aca="false">Annual_Data!$I$18*X240</f>
        <v>4711.901380704</v>
      </c>
      <c r="L240" s="12" t="n">
        <f aca="false">K240*0.0036</f>
        <v>16.9628449705344</v>
      </c>
      <c r="M240" s="14" t="n">
        <f aca="false">K240/(I240*E240/1000)</f>
        <v>76.2901955544115</v>
      </c>
      <c r="N240" s="10" t="n">
        <f aca="false">LN(F240)</f>
        <v>-0.0493686944241789</v>
      </c>
      <c r="O240" s="10" t="n">
        <f aca="false">LN(G240)</f>
        <v>-5.01564702600505</v>
      </c>
      <c r="P240" s="10" t="n">
        <f aca="false">LN(I240)</f>
        <v>7.629860261638</v>
      </c>
      <c r="Q240" s="10" t="n">
        <f aca="false">LN(J240)</f>
        <v>9.39867661848088</v>
      </c>
      <c r="R240" s="10" t="n">
        <f aca="false">LN(M240)</f>
        <v>4.33454443140219</v>
      </c>
      <c r="S240" s="3" t="n">
        <v>0</v>
      </c>
      <c r="T240" s="3" t="s">
        <v>47</v>
      </c>
      <c r="U240" s="15" t="n">
        <v>0.083714171551</v>
      </c>
      <c r="V240" s="15" t="n">
        <v>0.094761981511</v>
      </c>
      <c r="W240" s="15" t="n">
        <v>0.081020601939</v>
      </c>
      <c r="X240" s="15" t="n">
        <v>0.084141096084</v>
      </c>
      <c r="Y240" s="15" t="n">
        <v>1.009692158736</v>
      </c>
    </row>
    <row r="241" customFormat="false" ht="15" hidden="false" customHeight="true" outlineLevel="0" collapsed="false">
      <c r="A241" s="3" t="s">
        <v>22</v>
      </c>
      <c r="B241" s="9" t="n">
        <v>44896</v>
      </c>
      <c r="C241" s="3" t="n">
        <v>2022</v>
      </c>
      <c r="D241" s="3" t="n">
        <v>12</v>
      </c>
      <c r="E241" s="3" t="n">
        <v>31</v>
      </c>
      <c r="F241" s="10" t="n">
        <f aca="false">Annual_Data!$C$18*U241</f>
        <v>1.00254969288849</v>
      </c>
      <c r="G241" s="11" t="n">
        <f aca="false">Annual_Data!$D$18*V241</f>
        <v>0.00815779689557</v>
      </c>
      <c r="H241" s="12" t="n">
        <f aca="false">Annual_Data!$E$17+(Annual_Data!$E$18-Annual_Data!$E$17)*D241/12</f>
        <v>21.936</v>
      </c>
      <c r="I241" s="13" t="n">
        <f aca="false">Annual_Data!$F$18*Y241</f>
        <v>2061.66737598088</v>
      </c>
      <c r="J241" s="13" t="n">
        <f aca="false">Annual_Data!$H$18*W241</f>
        <v>12115.155022532</v>
      </c>
      <c r="K241" s="13" t="n">
        <f aca="false">Annual_Data!$I$18*X241</f>
        <v>4990.640951072</v>
      </c>
      <c r="L241" s="12" t="n">
        <f aca="false">K241*0.0036</f>
        <v>17.9663074238592</v>
      </c>
      <c r="M241" s="14" t="n">
        <f aca="false">K241/(I241*E241/1000)</f>
        <v>78.0865136889129</v>
      </c>
      <c r="N241" s="10" t="n">
        <f aca="false">LN(F241)</f>
        <v>0.00254644793616146</v>
      </c>
      <c r="O241" s="10" t="n">
        <f aca="false">LN(G241)</f>
        <v>-4.80878113474751</v>
      </c>
      <c r="P241" s="10" t="n">
        <f aca="false">LN(I241)</f>
        <v>7.63127034020735</v>
      </c>
      <c r="Q241" s="10" t="n">
        <f aca="false">LN(J241)</f>
        <v>9.40221242908556</v>
      </c>
      <c r="R241" s="10" t="n">
        <f aca="false">LN(M241)</f>
        <v>4.3578173618952</v>
      </c>
      <c r="S241" s="3" t="n">
        <v>0</v>
      </c>
      <c r="T241" s="3" t="s">
        <v>47</v>
      </c>
      <c r="U241" s="15" t="n">
        <v>0.088174994977</v>
      </c>
      <c r="V241" s="15" t="n">
        <v>0.116539955651</v>
      </c>
      <c r="W241" s="15" t="n">
        <v>0.081307582498</v>
      </c>
      <c r="X241" s="15" t="n">
        <v>0.089118588412</v>
      </c>
      <c r="Y241" s="15" t="n">
        <v>1.011116908279</v>
      </c>
    </row>
    <row r="242" customFormat="false" ht="15" hidden="false" customHeight="true" outlineLevel="0" collapsed="false">
      <c r="A242" s="3" t="s">
        <v>22</v>
      </c>
      <c r="B242" s="9" t="n">
        <v>44927</v>
      </c>
      <c r="C242" s="3" t="n">
        <v>2023</v>
      </c>
      <c r="D242" s="3" t="n">
        <v>1</v>
      </c>
      <c r="E242" s="3" t="n">
        <v>31</v>
      </c>
      <c r="F242" s="10" t="n">
        <f aca="false">Annual_Data!$C$19*U242</f>
        <v>0.99564278272312</v>
      </c>
      <c r="G242" s="11" t="n">
        <f aca="false">Annual_Data!$D$19*V242</f>
        <v>0.00898304122963</v>
      </c>
      <c r="H242" s="12" t="n">
        <f aca="false">Annual_Data!$E$18+(Annual_Data!$E$19-Annual_Data!$E$18)*D242/12</f>
        <v>22.0246666666667</v>
      </c>
      <c r="I242" s="13" t="n">
        <f aca="false">Annual_Data!$F$19*Y242</f>
        <v>2064.03195427827</v>
      </c>
      <c r="J242" s="13" t="n">
        <f aca="false">Annual_Data!$H$19*W242</f>
        <v>11116.3986504225</v>
      </c>
      <c r="K242" s="13" t="n">
        <f aca="false">Annual_Data!$I$19*X242</f>
        <v>4896.221896954</v>
      </c>
      <c r="L242" s="12" t="n">
        <f aca="false">K242*0.0036</f>
        <v>17.6263988290344</v>
      </c>
      <c r="M242" s="14" t="n">
        <f aca="false">K242/(I242*E242/1000)</f>
        <v>76.5214131059582</v>
      </c>
      <c r="N242" s="10" t="n">
        <f aca="false">LN(F242)</f>
        <v>-0.00436673761292554</v>
      </c>
      <c r="O242" s="10" t="n">
        <f aca="false">LN(G242)</f>
        <v>-4.71241678700609</v>
      </c>
      <c r="P242" s="10" t="n">
        <f aca="false">LN(I242)</f>
        <v>7.63241660820558</v>
      </c>
      <c r="Q242" s="10" t="n">
        <f aca="false">LN(J242)</f>
        <v>9.31617665297775</v>
      </c>
      <c r="R242" s="10" t="n">
        <f aca="false">LN(M242)</f>
        <v>4.33757061154684</v>
      </c>
      <c r="S242" s="3" t="n">
        <v>0</v>
      </c>
      <c r="T242" s="3" t="s">
        <v>47</v>
      </c>
      <c r="U242" s="15" t="n">
        <v>0.086728465394</v>
      </c>
      <c r="V242" s="15" t="n">
        <v>0.069100317151</v>
      </c>
      <c r="W242" s="15" t="n">
        <v>0.104039370418</v>
      </c>
      <c r="X242" s="15" t="n">
        <v>0.084417618913</v>
      </c>
      <c r="Y242" s="15" t="n">
        <v>0.991369814735</v>
      </c>
    </row>
    <row r="243" customFormat="false" ht="15" hidden="false" customHeight="true" outlineLevel="0" collapsed="false">
      <c r="A243" s="3" t="s">
        <v>22</v>
      </c>
      <c r="B243" s="9" t="n">
        <v>44958</v>
      </c>
      <c r="C243" s="3" t="n">
        <v>2023</v>
      </c>
      <c r="D243" s="3" t="n">
        <v>2</v>
      </c>
      <c r="E243" s="3" t="n">
        <v>28</v>
      </c>
      <c r="F243" s="10" t="n">
        <f aca="false">Annual_Data!$C$19*U243</f>
        <v>0.91256764421508</v>
      </c>
      <c r="G243" s="11" t="n">
        <f aca="false">Annual_Data!$D$19*V243</f>
        <v>0.00862034044911</v>
      </c>
      <c r="H243" s="12" t="n">
        <f aca="false">Annual_Data!$E$18+(Annual_Data!$E$19-Annual_Data!$E$18)*D243/12</f>
        <v>22.1133333333333</v>
      </c>
      <c r="I243" s="13" t="n">
        <f aca="false">Annual_Data!$F$19*Y243</f>
        <v>2083.37712448215</v>
      </c>
      <c r="J243" s="13" t="n">
        <f aca="false">Annual_Data!$H$19*W243</f>
        <v>9755.29092611002</v>
      </c>
      <c r="K243" s="13" t="n">
        <f aca="false">Annual_Data!$I$19*X243</f>
        <v>4466.25675585</v>
      </c>
      <c r="L243" s="12" t="n">
        <f aca="false">K243*0.0036</f>
        <v>16.07852432106</v>
      </c>
      <c r="M243" s="14" t="n">
        <f aca="false">K243/(I243*E243/1000)</f>
        <v>76.5627921979962</v>
      </c>
      <c r="N243" s="10" t="n">
        <f aca="false">LN(F243)</f>
        <v>-0.091493065626368</v>
      </c>
      <c r="O243" s="10" t="n">
        <f aca="false">LN(G243)</f>
        <v>-4.75363069983007</v>
      </c>
      <c r="P243" s="10" t="n">
        <f aca="false">LN(I243)</f>
        <v>7.64174547359286</v>
      </c>
      <c r="Q243" s="10" t="n">
        <f aca="false">LN(J243)</f>
        <v>9.1855650758939</v>
      </c>
      <c r="R243" s="10" t="n">
        <f aca="false">LN(M243)</f>
        <v>4.33811121719539</v>
      </c>
      <c r="S243" s="3" t="n">
        <v>0</v>
      </c>
      <c r="T243" s="3" t="s">
        <v>47</v>
      </c>
      <c r="U243" s="15" t="n">
        <v>0.079491955071</v>
      </c>
      <c r="V243" s="15" t="n">
        <v>0.066310311147</v>
      </c>
      <c r="W243" s="15" t="n">
        <v>0.091300641342</v>
      </c>
      <c r="X243" s="15" t="n">
        <v>0.077004426825</v>
      </c>
      <c r="Y243" s="15" t="n">
        <v>1.000661443075</v>
      </c>
    </row>
    <row r="244" customFormat="false" ht="15" hidden="false" customHeight="true" outlineLevel="0" collapsed="false">
      <c r="A244" s="3" t="s">
        <v>22</v>
      </c>
      <c r="B244" s="9" t="n">
        <v>44986</v>
      </c>
      <c r="C244" s="3" t="n">
        <v>2023</v>
      </c>
      <c r="D244" s="3" t="n">
        <v>3</v>
      </c>
      <c r="E244" s="3" t="n">
        <v>31</v>
      </c>
      <c r="F244" s="10" t="n">
        <f aca="false">Annual_Data!$C$19*U244</f>
        <v>0.99584471956228</v>
      </c>
      <c r="G244" s="11" t="n">
        <f aca="false">Annual_Data!$D$19*V244</f>
        <v>0.00967870668674</v>
      </c>
      <c r="H244" s="12" t="n">
        <f aca="false">Annual_Data!$E$18+(Annual_Data!$E$19-Annual_Data!$E$18)*D244/12</f>
        <v>22.202</v>
      </c>
      <c r="I244" s="13" t="n">
        <f aca="false">Annual_Data!$F$19*Y244</f>
        <v>2114.18313140941</v>
      </c>
      <c r="J244" s="13" t="n">
        <f aca="false">Annual_Data!$H$19*W244</f>
        <v>10023.030981936</v>
      </c>
      <c r="K244" s="13" t="n">
        <f aca="false">Annual_Data!$I$19*X244</f>
        <v>5020.036131974</v>
      </c>
      <c r="L244" s="12" t="n">
        <f aca="false">K244*0.0036</f>
        <v>18.0721300751064</v>
      </c>
      <c r="M244" s="14" t="n">
        <f aca="false">K244/(I244*E244/1000)</f>
        <v>76.5953748342329</v>
      </c>
      <c r="N244" s="10" t="n">
        <f aca="false">LN(F244)</f>
        <v>-0.00416393760577482</v>
      </c>
      <c r="O244" s="10" t="n">
        <f aca="false">LN(G244)</f>
        <v>-4.63782699336156</v>
      </c>
      <c r="P244" s="10" t="n">
        <f aca="false">LN(I244)</f>
        <v>7.65642379059183</v>
      </c>
      <c r="Q244" s="10" t="n">
        <f aca="false">LN(J244)</f>
        <v>9.2126408221042</v>
      </c>
      <c r="R244" s="10" t="n">
        <f aca="false">LN(M244)</f>
        <v>4.33853669416942</v>
      </c>
      <c r="S244" s="3" t="n">
        <v>0</v>
      </c>
      <c r="T244" s="3" t="s">
        <v>47</v>
      </c>
      <c r="U244" s="15" t="n">
        <v>0.086746055711</v>
      </c>
      <c r="V244" s="15" t="n">
        <v>0.074451589898</v>
      </c>
      <c r="W244" s="15" t="n">
        <v>0.0938064445</v>
      </c>
      <c r="X244" s="15" t="n">
        <v>0.086552347103</v>
      </c>
      <c r="Y244" s="15" t="n">
        <v>1.015457796066</v>
      </c>
    </row>
    <row r="245" customFormat="false" ht="15" hidden="false" customHeight="true" outlineLevel="0" collapsed="false">
      <c r="A245" s="3" t="s">
        <v>22</v>
      </c>
      <c r="B245" s="9" t="n">
        <v>45017</v>
      </c>
      <c r="C245" s="3" t="n">
        <v>2023</v>
      </c>
      <c r="D245" s="3" t="n">
        <v>4</v>
      </c>
      <c r="E245" s="3" t="n">
        <v>30</v>
      </c>
      <c r="F245" s="10" t="n">
        <f aca="false">Annual_Data!$C$19*U245</f>
        <v>0.94210970361564</v>
      </c>
      <c r="G245" s="11" t="n">
        <f aca="false">Annual_Data!$D$19*V245</f>
        <v>0.00999474005673</v>
      </c>
      <c r="H245" s="12" t="n">
        <f aca="false">Annual_Data!$E$18+(Annual_Data!$E$19-Annual_Data!$E$18)*D245/12</f>
        <v>22.2906666666667</v>
      </c>
      <c r="I245" s="13" t="n">
        <f aca="false">Annual_Data!$F$19*Y245</f>
        <v>2106.4450135639</v>
      </c>
      <c r="J245" s="13" t="n">
        <f aca="false">Annual_Data!$H$19*W245</f>
        <v>9288.51720568531</v>
      </c>
      <c r="K245" s="13" t="n">
        <f aca="false">Annual_Data!$I$19*X245</f>
        <v>4704.168082442</v>
      </c>
      <c r="L245" s="12" t="n">
        <f aca="false">K245*0.0036</f>
        <v>16.9350050967912</v>
      </c>
      <c r="M245" s="14" t="n">
        <f aca="false">K245/(I245*E245/1000)</f>
        <v>74.4408715814362</v>
      </c>
      <c r="N245" s="10" t="n">
        <f aca="false">LN(F245)</f>
        <v>-0.0596335529958021</v>
      </c>
      <c r="O245" s="10" t="n">
        <f aca="false">LN(G245)</f>
        <v>-4.60569631869864</v>
      </c>
      <c r="P245" s="10" t="n">
        <f aca="false">LN(I245)</f>
        <v>7.65275697785687</v>
      </c>
      <c r="Q245" s="10" t="n">
        <f aca="false">LN(J245)</f>
        <v>9.13653420719399</v>
      </c>
      <c r="R245" s="10" t="n">
        <f aca="false">LN(M245)</f>
        <v>4.31000514021486</v>
      </c>
      <c r="S245" s="3" t="n">
        <v>0</v>
      </c>
      <c r="T245" s="3" t="s">
        <v>47</v>
      </c>
      <c r="U245" s="15" t="n">
        <v>0.082065305193</v>
      </c>
      <c r="V245" s="15" t="n">
        <v>0.076882615821</v>
      </c>
      <c r="W245" s="15" t="n">
        <v>0.086932064294</v>
      </c>
      <c r="X245" s="15" t="n">
        <v>0.081106346249</v>
      </c>
      <c r="Y245" s="15" t="n">
        <v>1.011741120828</v>
      </c>
    </row>
    <row r="246" customFormat="false" ht="15" hidden="false" customHeight="true" outlineLevel="0" collapsed="false">
      <c r="A246" s="3" t="s">
        <v>22</v>
      </c>
      <c r="B246" s="9" t="n">
        <v>45047</v>
      </c>
      <c r="C246" s="3" t="n">
        <v>2023</v>
      </c>
      <c r="D246" s="3" t="n">
        <v>5</v>
      </c>
      <c r="E246" s="3" t="n">
        <v>31</v>
      </c>
      <c r="F246" s="10" t="n">
        <f aca="false">Annual_Data!$C$19*U246</f>
        <v>0.94624817172788</v>
      </c>
      <c r="G246" s="11" t="n">
        <f aca="false">Annual_Data!$D$19*V246</f>
        <v>0.01093252001621</v>
      </c>
      <c r="H246" s="12" t="n">
        <f aca="false">Annual_Data!$E$18+(Annual_Data!$E$19-Annual_Data!$E$18)*D246/12</f>
        <v>22.3793333333333</v>
      </c>
      <c r="I246" s="13" t="n">
        <f aca="false">Annual_Data!$F$19*Y246</f>
        <v>2080.55126318534</v>
      </c>
      <c r="J246" s="13" t="n">
        <f aca="false">Annual_Data!$H$19*W246</f>
        <v>8837.7762789671</v>
      </c>
      <c r="K246" s="13" t="n">
        <f aca="false">Annual_Data!$I$19*X246</f>
        <v>4763.764021868</v>
      </c>
      <c r="L246" s="12" t="n">
        <f aca="false">K246*0.0036</f>
        <v>17.1495504787248</v>
      </c>
      <c r="M246" s="14" t="n">
        <f aca="false">K246/(I246*E246/1000)</f>
        <v>73.8601397986043</v>
      </c>
      <c r="N246" s="10" t="n">
        <f aca="false">LN(F246)</f>
        <v>-0.0552504063561179</v>
      </c>
      <c r="O246" s="10" t="n">
        <f aca="false">LN(G246)</f>
        <v>-4.51601344378841</v>
      </c>
      <c r="P246" s="10" t="n">
        <f aca="false">LN(I246)</f>
        <v>7.64038816795859</v>
      </c>
      <c r="Q246" s="10" t="n">
        <f aca="false">LN(J246)</f>
        <v>9.0867905718341</v>
      </c>
      <c r="R246" s="10" t="n">
        <f aca="false">LN(M246)</f>
        <v>4.30217330217384</v>
      </c>
      <c r="S246" s="3" t="n">
        <v>0</v>
      </c>
      <c r="T246" s="3" t="s">
        <v>47</v>
      </c>
      <c r="U246" s="15" t="n">
        <v>0.082425798931</v>
      </c>
      <c r="V246" s="15" t="n">
        <v>0.084096307817</v>
      </c>
      <c r="W246" s="15" t="n">
        <v>0.082713539598</v>
      </c>
      <c r="X246" s="15" t="n">
        <v>0.082133862446</v>
      </c>
      <c r="Y246" s="15" t="n">
        <v>0.999304160992</v>
      </c>
    </row>
    <row r="247" customFormat="false" ht="15" hidden="false" customHeight="true" outlineLevel="0" collapsed="false">
      <c r="A247" s="3" t="s">
        <v>22</v>
      </c>
      <c r="B247" s="9" t="n">
        <v>45078</v>
      </c>
      <c r="C247" s="3" t="n">
        <v>2023</v>
      </c>
      <c r="D247" s="3" t="n">
        <v>6</v>
      </c>
      <c r="E247" s="3" t="n">
        <v>30</v>
      </c>
      <c r="F247" s="10" t="n">
        <f aca="false">Annual_Data!$C$19*U247</f>
        <v>0.93185561571228</v>
      </c>
      <c r="G247" s="11" t="n">
        <f aca="false">Annual_Data!$D$19*V247</f>
        <v>0.01098064948994</v>
      </c>
      <c r="H247" s="12" t="n">
        <f aca="false">Annual_Data!$E$18+(Annual_Data!$E$19-Annual_Data!$E$18)*D247/12</f>
        <v>22.468</v>
      </c>
      <c r="I247" s="13" t="n">
        <f aca="false">Annual_Data!$F$19*Y247</f>
        <v>2078.51209323572</v>
      </c>
      <c r="J247" s="13" t="n">
        <f aca="false">Annual_Data!$H$19*W247</f>
        <v>8606.76411769171</v>
      </c>
      <c r="K247" s="13" t="n">
        <f aca="false">Annual_Data!$I$19*X247</f>
        <v>4725.813944834</v>
      </c>
      <c r="L247" s="12" t="n">
        <f aca="false">K247*0.0036</f>
        <v>17.0129302014024</v>
      </c>
      <c r="M247" s="14" t="n">
        <f aca="false">K247/(I247*E247/1000)</f>
        <v>75.7884123008571</v>
      </c>
      <c r="N247" s="10" t="n">
        <f aca="false">LN(F247)</f>
        <v>-0.070577395061345</v>
      </c>
      <c r="O247" s="10" t="n">
        <f aca="false">LN(G247)</f>
        <v>-4.51162069256092</v>
      </c>
      <c r="P247" s="10" t="n">
        <f aca="false">LN(I247)</f>
        <v>7.63940757692726</v>
      </c>
      <c r="Q247" s="10" t="n">
        <f aca="false">LN(J247)</f>
        <v>9.06030369840565</v>
      </c>
      <c r="R247" s="10" t="n">
        <f aca="false">LN(M247)</f>
        <v>4.32794540894185</v>
      </c>
      <c r="S247" s="3" t="n">
        <v>0</v>
      </c>
      <c r="T247" s="3" t="s">
        <v>47</v>
      </c>
      <c r="U247" s="15" t="n">
        <v>0.081172091961</v>
      </c>
      <c r="V247" s="15" t="n">
        <v>0.084466534538</v>
      </c>
      <c r="W247" s="15" t="n">
        <v>0.080551476094</v>
      </c>
      <c r="X247" s="15" t="n">
        <v>0.081479550773</v>
      </c>
      <c r="Y247" s="15" t="n">
        <v>0.998324732582</v>
      </c>
    </row>
    <row r="248" customFormat="false" ht="15" hidden="false" customHeight="true" outlineLevel="0" collapsed="false">
      <c r="A248" s="3" t="s">
        <v>22</v>
      </c>
      <c r="B248" s="9" t="n">
        <v>45108</v>
      </c>
      <c r="C248" s="3" t="n">
        <v>2023</v>
      </c>
      <c r="D248" s="3" t="n">
        <v>7</v>
      </c>
      <c r="E248" s="3" t="n">
        <v>31</v>
      </c>
      <c r="F248" s="10" t="n">
        <f aca="false">Annual_Data!$C$19*U248</f>
        <v>0.97244079866164</v>
      </c>
      <c r="G248" s="11" t="n">
        <f aca="false">Annual_Data!$D$19*V248</f>
        <v>0.01171026042836</v>
      </c>
      <c r="H248" s="12" t="n">
        <f aca="false">Annual_Data!$E$18+(Annual_Data!$E$19-Annual_Data!$E$18)*D248/12</f>
        <v>22.5566666666667</v>
      </c>
      <c r="I248" s="13" t="n">
        <f aca="false">Annual_Data!$F$19*Y248</f>
        <v>2062.28334243154</v>
      </c>
      <c r="J248" s="13" t="n">
        <f aca="false">Annual_Data!$H$19*W248</f>
        <v>8513.00753768237</v>
      </c>
      <c r="K248" s="13" t="n">
        <f aca="false">Annual_Data!$I$19*X248</f>
        <v>4935.611831412</v>
      </c>
      <c r="L248" s="12" t="n">
        <f aca="false">K248*0.0036</f>
        <v>17.7682025930832</v>
      </c>
      <c r="M248" s="14" t="n">
        <f aca="false">K248/(I248*E248/1000)</f>
        <v>77.2024297575604</v>
      </c>
      <c r="N248" s="10" t="n">
        <f aca="false">LN(F248)</f>
        <v>-0.0279460807547142</v>
      </c>
      <c r="O248" s="10" t="n">
        <f aca="false">LN(G248)</f>
        <v>-4.44728986179402</v>
      </c>
      <c r="P248" s="10" t="n">
        <f aca="false">LN(I248)</f>
        <v>7.63156906659731</v>
      </c>
      <c r="Q248" s="10" t="n">
        <f aca="false">LN(J248)</f>
        <v>9.04935057131564</v>
      </c>
      <c r="R248" s="10" t="n">
        <f aca="false">LN(M248)</f>
        <v>4.34643093007898</v>
      </c>
      <c r="S248" s="3" t="n">
        <v>0</v>
      </c>
      <c r="T248" s="3" t="s">
        <v>47</v>
      </c>
      <c r="U248" s="15" t="n">
        <v>0.084707386643</v>
      </c>
      <c r="V248" s="15" t="n">
        <v>0.090078926372</v>
      </c>
      <c r="W248" s="15" t="n">
        <v>0.079673999866</v>
      </c>
      <c r="X248" s="15" t="n">
        <v>0.085096755714</v>
      </c>
      <c r="Y248" s="15" t="n">
        <v>0.990529943531</v>
      </c>
    </row>
    <row r="249" customFormat="false" ht="15" hidden="false" customHeight="true" outlineLevel="0" collapsed="false">
      <c r="A249" s="3" t="s">
        <v>22</v>
      </c>
      <c r="B249" s="9" t="n">
        <v>45139</v>
      </c>
      <c r="C249" s="3" t="n">
        <v>2023</v>
      </c>
      <c r="D249" s="3" t="n">
        <v>8</v>
      </c>
      <c r="E249" s="3" t="n">
        <v>31</v>
      </c>
      <c r="F249" s="10" t="n">
        <f aca="false">Annual_Data!$C$19*U249</f>
        <v>0.96672227481424</v>
      </c>
      <c r="G249" s="11" t="n">
        <f aca="false">Annual_Data!$D$19*V249</f>
        <v>0.01309574046664</v>
      </c>
      <c r="H249" s="12" t="n">
        <f aca="false">Annual_Data!$E$18+(Annual_Data!$E$19-Annual_Data!$E$18)*D249/12</f>
        <v>22.6453333333333</v>
      </c>
      <c r="I249" s="13" t="n">
        <f aca="false">Annual_Data!$F$19*Y249</f>
        <v>2061.3655985825</v>
      </c>
      <c r="J249" s="13" t="n">
        <f aca="false">Annual_Data!$H$19*W249</f>
        <v>8186.09175710525</v>
      </c>
      <c r="K249" s="13" t="n">
        <f aca="false">Annual_Data!$I$19*X249</f>
        <v>4932.578693108</v>
      </c>
      <c r="L249" s="12" t="n">
        <f aca="false">K249*0.0036</f>
        <v>17.7572832951888</v>
      </c>
      <c r="M249" s="14" t="n">
        <f aca="false">K249/(I249*E249/1000)</f>
        <v>77.1893359540767</v>
      </c>
      <c r="N249" s="10" t="n">
        <f aca="false">LN(F249)</f>
        <v>-0.0338440276603157</v>
      </c>
      <c r="O249" s="10" t="n">
        <f aca="false">LN(G249)</f>
        <v>-4.33546825686777</v>
      </c>
      <c r="P249" s="10" t="n">
        <f aca="false">LN(I249)</f>
        <v>7.63112395408782</v>
      </c>
      <c r="Q249" s="10" t="n">
        <f aca="false">LN(J249)</f>
        <v>9.01019186601778</v>
      </c>
      <c r="R249" s="10" t="n">
        <f aca="false">LN(M249)</f>
        <v>4.34626131217928</v>
      </c>
      <c r="S249" s="3" t="n">
        <v>0</v>
      </c>
      <c r="T249" s="3" t="s">
        <v>47</v>
      </c>
      <c r="U249" s="15" t="n">
        <v>0.084209257388</v>
      </c>
      <c r="V249" s="15" t="n">
        <v>0.100736465128</v>
      </c>
      <c r="W249" s="15" t="n">
        <v>0.076614365801</v>
      </c>
      <c r="X249" s="15" t="n">
        <v>0.085044460226</v>
      </c>
      <c r="Y249" s="15" t="n">
        <v>0.990089144372</v>
      </c>
    </row>
    <row r="250" customFormat="false" ht="15" hidden="false" customHeight="true" outlineLevel="0" collapsed="false">
      <c r="A250" s="3" t="s">
        <v>22</v>
      </c>
      <c r="B250" s="9" t="n">
        <v>45170</v>
      </c>
      <c r="C250" s="3" t="n">
        <v>2023</v>
      </c>
      <c r="D250" s="3" t="n">
        <v>9</v>
      </c>
      <c r="E250" s="3" t="n">
        <v>30</v>
      </c>
      <c r="F250" s="10" t="n">
        <f aca="false">Annual_Data!$C$19*U250</f>
        <v>0.93469281439044</v>
      </c>
      <c r="G250" s="11" t="n">
        <f aca="false">Annual_Data!$D$19*V250</f>
        <v>0.01142831586156</v>
      </c>
      <c r="H250" s="12" t="n">
        <f aca="false">Annual_Data!$E$18+(Annual_Data!$E$19-Annual_Data!$E$18)*D250/12</f>
        <v>22.734</v>
      </c>
      <c r="I250" s="13" t="n">
        <f aca="false">Annual_Data!$F$19*Y250</f>
        <v>2099.23129410931</v>
      </c>
      <c r="J250" s="13" t="n">
        <f aca="false">Annual_Data!$H$19*W250</f>
        <v>8032.9645013305</v>
      </c>
      <c r="K250" s="13" t="n">
        <f aca="false">Annual_Data!$I$19*X250</f>
        <v>4757.692056156</v>
      </c>
      <c r="L250" s="12" t="n">
        <f aca="false">K250*0.0036</f>
        <v>17.1276914021616</v>
      </c>
      <c r="M250" s="14" t="n">
        <f aca="false">K250/(I250*E250/1000)</f>
        <v>75.5465753822465</v>
      </c>
      <c r="N250" s="10" t="n">
        <f aca="false">LN(F250)</f>
        <v>-0.0675373444336765</v>
      </c>
      <c r="O250" s="10" t="n">
        <f aca="false">LN(G250)</f>
        <v>-4.4716611557271</v>
      </c>
      <c r="P250" s="10" t="n">
        <f aca="false">LN(I250)</f>
        <v>7.64932650627457</v>
      </c>
      <c r="Q250" s="10" t="n">
        <f aca="false">LN(J250)</f>
        <v>8.99130891705917</v>
      </c>
      <c r="R250" s="10" t="n">
        <f aca="false">LN(M250)</f>
        <v>4.32474935853512</v>
      </c>
      <c r="S250" s="3" t="n">
        <v>0</v>
      </c>
      <c r="T250" s="3" t="s">
        <v>47</v>
      </c>
      <c r="U250" s="15" t="n">
        <v>0.081419234703</v>
      </c>
      <c r="V250" s="15" t="n">
        <v>0.087910122012</v>
      </c>
      <c r="W250" s="15" t="n">
        <v>0.075181234102</v>
      </c>
      <c r="X250" s="15" t="n">
        <v>0.082029173382</v>
      </c>
      <c r="Y250" s="15" t="n">
        <v>1.008276318016</v>
      </c>
    </row>
    <row r="251" customFormat="false" ht="15" hidden="false" customHeight="true" outlineLevel="0" collapsed="false">
      <c r="A251" s="3" t="s">
        <v>22</v>
      </c>
      <c r="B251" s="9" t="n">
        <v>45200</v>
      </c>
      <c r="C251" s="3" t="n">
        <v>2023</v>
      </c>
      <c r="D251" s="3" t="n">
        <v>10</v>
      </c>
      <c r="E251" s="3" t="n">
        <v>31</v>
      </c>
      <c r="F251" s="10" t="n">
        <f aca="false">Annual_Data!$C$19*U251</f>
        <v>0.94318260752856</v>
      </c>
      <c r="G251" s="11" t="n">
        <f aca="false">Annual_Data!$D$19*V251</f>
        <v>0.01165413858245</v>
      </c>
      <c r="H251" s="12" t="n">
        <f aca="false">Annual_Data!$E$18+(Annual_Data!$E$19-Annual_Data!$E$18)*D251/12</f>
        <v>22.8226666666667</v>
      </c>
      <c r="I251" s="13" t="n">
        <f aca="false">Annual_Data!$F$19*Y251</f>
        <v>2064.82419545879</v>
      </c>
      <c r="J251" s="13" t="n">
        <f aca="false">Annual_Data!$H$19*W251</f>
        <v>8221.52883731558</v>
      </c>
      <c r="K251" s="13" t="n">
        <f aca="false">Annual_Data!$I$19*X251</f>
        <v>4814.111571294</v>
      </c>
      <c r="L251" s="12" t="n">
        <f aca="false">K251*0.0036</f>
        <v>17.3308016566584</v>
      </c>
      <c r="M251" s="14" t="n">
        <f aca="false">K251/(I251*E251/1000)</f>
        <v>75.2092705985267</v>
      </c>
      <c r="N251" s="10" t="n">
        <f aca="false">LN(F251)</f>
        <v>-0.0584953697842084</v>
      </c>
      <c r="O251" s="10" t="n">
        <f aca="false">LN(G251)</f>
        <v>-4.45209391892557</v>
      </c>
      <c r="P251" s="10" t="n">
        <f aca="false">LN(I251)</f>
        <v>7.63280036639987</v>
      </c>
      <c r="Q251" s="10" t="n">
        <f aca="false">LN(J251)</f>
        <v>9.01451146069731</v>
      </c>
      <c r="R251" s="10" t="n">
        <f aca="false">LN(M251)</f>
        <v>4.32027450259326</v>
      </c>
      <c r="S251" s="3" t="n">
        <v>0</v>
      </c>
      <c r="T251" s="3" t="s">
        <v>47</v>
      </c>
      <c r="U251" s="15" t="n">
        <v>0.082158763722</v>
      </c>
      <c r="V251" s="15" t="n">
        <v>0.089647219865</v>
      </c>
      <c r="W251" s="15" t="n">
        <v>0.076946024608</v>
      </c>
      <c r="X251" s="15" t="n">
        <v>0.083001923643</v>
      </c>
      <c r="Y251" s="15" t="n">
        <v>0.991750334034</v>
      </c>
    </row>
    <row r="252" customFormat="false" ht="15" hidden="false" customHeight="true" outlineLevel="0" collapsed="false">
      <c r="A252" s="3" t="s">
        <v>22</v>
      </c>
      <c r="B252" s="9" t="n">
        <v>45231</v>
      </c>
      <c r="C252" s="3" t="n">
        <v>2023</v>
      </c>
      <c r="D252" s="3" t="n">
        <v>11</v>
      </c>
      <c r="E252" s="3" t="n">
        <v>30</v>
      </c>
      <c r="F252" s="10" t="n">
        <f aca="false">Annual_Data!$C$19*U252</f>
        <v>0.9439654376026</v>
      </c>
      <c r="G252" s="11" t="n">
        <f aca="false">Annual_Data!$D$19*V252</f>
        <v>0.01106195227319</v>
      </c>
      <c r="H252" s="12" t="n">
        <f aca="false">Annual_Data!$E$18+(Annual_Data!$E$19-Annual_Data!$E$18)*D252/12</f>
        <v>22.9113333333333</v>
      </c>
      <c r="I252" s="13" t="n">
        <f aca="false">Annual_Data!$F$19*Y252</f>
        <v>2073.41582821327</v>
      </c>
      <c r="J252" s="13" t="n">
        <f aca="false">Annual_Data!$H$19*W252</f>
        <v>7899.19821438451</v>
      </c>
      <c r="K252" s="13" t="n">
        <f aca="false">Annual_Data!$I$19*X252</f>
        <v>4831.956003196</v>
      </c>
      <c r="L252" s="12" t="n">
        <f aca="false">K252*0.0036</f>
        <v>17.3950416115056</v>
      </c>
      <c r="M252" s="14" t="n">
        <f aca="false">K252/(I252*E252/1000)</f>
        <v>77.6810892995489</v>
      </c>
      <c r="N252" s="10" t="n">
        <f aca="false">LN(F252)</f>
        <v>-0.057665726216008</v>
      </c>
      <c r="O252" s="10" t="n">
        <f aca="false">LN(G252)</f>
        <v>-4.50424378190187</v>
      </c>
      <c r="P252" s="10" t="n">
        <f aca="false">LN(I252)</f>
        <v>7.63695268480088</v>
      </c>
      <c r="Q252" s="10" t="n">
        <f aca="false">LN(J252)</f>
        <v>8.9745165414544</v>
      </c>
      <c r="R252" s="10" t="n">
        <f aca="false">LN(M252)</f>
        <v>4.35261184679346</v>
      </c>
      <c r="S252" s="3" t="n">
        <v>0</v>
      </c>
      <c r="T252" s="3" t="s">
        <v>47</v>
      </c>
      <c r="U252" s="15" t="n">
        <v>0.082226954495</v>
      </c>
      <c r="V252" s="15" t="n">
        <v>0.085091940563</v>
      </c>
      <c r="W252" s="15" t="n">
        <v>0.073929303444</v>
      </c>
      <c r="X252" s="15" t="n">
        <v>0.083309586262</v>
      </c>
      <c r="Y252" s="15" t="n">
        <v>0.995876958796</v>
      </c>
    </row>
    <row r="253" customFormat="false" ht="15" hidden="false" customHeight="true" outlineLevel="0" collapsed="false">
      <c r="A253" s="3" t="s">
        <v>22</v>
      </c>
      <c r="B253" s="9" t="n">
        <v>45261</v>
      </c>
      <c r="C253" s="3" t="n">
        <v>2023</v>
      </c>
      <c r="D253" s="3" t="n">
        <v>12</v>
      </c>
      <c r="E253" s="3" t="n">
        <v>31</v>
      </c>
      <c r="F253" s="10" t="n">
        <f aca="false">Annual_Data!$C$19*U253</f>
        <v>0.99472742944624</v>
      </c>
      <c r="G253" s="11" t="n">
        <f aca="false">Annual_Data!$D$19*V253</f>
        <v>0.01185959445944</v>
      </c>
      <c r="H253" s="12" t="n">
        <f aca="false">Annual_Data!$E$18+(Annual_Data!$E$19-Annual_Data!$E$18)*D253/12</f>
        <v>23</v>
      </c>
      <c r="I253" s="13" t="n">
        <f aca="false">Annual_Data!$F$19*Y253</f>
        <v>2096.86740629347</v>
      </c>
      <c r="J253" s="13" t="n">
        <f aca="false">Annual_Data!$H$19*W253</f>
        <v>8367.43099136918</v>
      </c>
      <c r="K253" s="13" t="n">
        <f aca="false">Annual_Data!$I$19*X253</f>
        <v>5151.789010912</v>
      </c>
      <c r="L253" s="12" t="n">
        <f aca="false">K253*0.0036</f>
        <v>18.5464404392832</v>
      </c>
      <c r="M253" s="14" t="n">
        <f aca="false">K253/(I253*E253/1000)</f>
        <v>79.2547691803004</v>
      </c>
      <c r="N253" s="10" t="n">
        <f aca="false">LN(F253)</f>
        <v>-0.00528651960706483</v>
      </c>
      <c r="O253" s="10" t="n">
        <f aca="false">LN(G253)</f>
        <v>-4.43461807997358</v>
      </c>
      <c r="P253" s="10" t="n">
        <f aca="false">LN(I253)</f>
        <v>7.64819979871371</v>
      </c>
      <c r="Q253" s="10" t="n">
        <f aca="false">LN(J253)</f>
        <v>9.03210218582939</v>
      </c>
      <c r="R253" s="10" t="n">
        <f aca="false">LN(M253)</f>
        <v>4.37266758987795</v>
      </c>
      <c r="S253" s="3" t="n">
        <v>0</v>
      </c>
      <c r="T253" s="3" t="s">
        <v>47</v>
      </c>
      <c r="U253" s="15" t="n">
        <v>0.086648730788</v>
      </c>
      <c r="V253" s="15" t="n">
        <v>0.091227649688</v>
      </c>
      <c r="W253" s="15" t="n">
        <v>0.078311535933</v>
      </c>
      <c r="X253" s="15" t="n">
        <v>0.088823948464</v>
      </c>
      <c r="Y253" s="15" t="n">
        <v>1.007140925213</v>
      </c>
    </row>
    <row r="254" customFormat="false" ht="15" hidden="false" customHeight="true" outlineLevel="0" collapsed="false">
      <c r="A254" s="3" t="s">
        <v>22</v>
      </c>
      <c r="B254" s="9" t="n">
        <v>45292</v>
      </c>
      <c r="C254" s="3" t="n">
        <v>2024</v>
      </c>
      <c r="D254" s="3" t="n">
        <v>1</v>
      </c>
      <c r="E254" s="3" t="n">
        <v>31</v>
      </c>
      <c r="F254" s="10" t="n">
        <f aca="false">Annual_Data!$C$20*U254</f>
        <v>0.9847932921922</v>
      </c>
      <c r="G254" s="11" t="n">
        <f aca="false">Annual_Data!$D$20*V254</f>
        <v>0.0120049102888</v>
      </c>
      <c r="H254" s="12" t="n">
        <f aca="false">Annual_Data!$E$19+(Annual_Data!$E$20-Annual_Data!$E$19)*D254/12</f>
        <v>23.13675</v>
      </c>
      <c r="I254" s="13" t="n">
        <f aca="false">Annual_Data!$F$20*Y254</f>
        <v>2088.51724351261</v>
      </c>
      <c r="J254" s="13" t="n">
        <f aca="false">Annual_Data!$H$20*W254</f>
        <v>8248.38411378746</v>
      </c>
      <c r="K254" s="13" t="n">
        <f aca="false">Annual_Data!$I$20*X254</f>
        <v>5121.792253704</v>
      </c>
      <c r="L254" s="12" t="n">
        <f aca="false">K254*0.0036</f>
        <v>18.4384521133344</v>
      </c>
      <c r="M254" s="14" t="n">
        <f aca="false">K254/(I254*E254/1000)</f>
        <v>79.1083269584679</v>
      </c>
      <c r="N254" s="10" t="n">
        <f aca="false">LN(F254)</f>
        <v>-0.015323515475261</v>
      </c>
      <c r="O254" s="10" t="n">
        <f aca="false">LN(G254)</f>
        <v>-4.4224395221565</v>
      </c>
      <c r="P254" s="10" t="n">
        <f aca="false">LN(I254)</f>
        <v>7.6442096403133</v>
      </c>
      <c r="Q254" s="10" t="n">
        <f aca="false">LN(J254)</f>
        <v>9.01777259514921</v>
      </c>
      <c r="R254" s="10" t="n">
        <f aca="false">LN(M254)</f>
        <v>4.37081814051576</v>
      </c>
      <c r="S254" s="3" t="n">
        <v>0</v>
      </c>
      <c r="T254" s="3" t="s">
        <v>47</v>
      </c>
      <c r="U254" s="15" t="n">
        <v>0.090348008458</v>
      </c>
      <c r="V254" s="15" t="n">
        <v>0.10913554808</v>
      </c>
      <c r="W254" s="15" t="n">
        <v>0.080470469979</v>
      </c>
      <c r="X254" s="15" t="n">
        <v>0.091460575959</v>
      </c>
      <c r="Y254" s="15" t="n">
        <v>1.010409890427</v>
      </c>
    </row>
    <row r="255" customFormat="false" ht="15" hidden="false" customHeight="true" outlineLevel="0" collapsed="false">
      <c r="A255" s="3" t="s">
        <v>22</v>
      </c>
      <c r="B255" s="9" t="n">
        <v>45323</v>
      </c>
      <c r="C255" s="3" t="n">
        <v>2024</v>
      </c>
      <c r="D255" s="3" t="n">
        <v>2</v>
      </c>
      <c r="E255" s="3" t="n">
        <v>29</v>
      </c>
      <c r="F255" s="10" t="n">
        <f aca="false">Annual_Data!$C$20*U255</f>
        <v>0.9051732371795</v>
      </c>
      <c r="G255" s="11" t="n">
        <f aca="false">Annual_Data!$D$20*V255</f>
        <v>0.01038525474228</v>
      </c>
      <c r="H255" s="12" t="n">
        <f aca="false">Annual_Data!$E$19+(Annual_Data!$E$20-Annual_Data!$E$19)*D255/12</f>
        <v>23.2735</v>
      </c>
      <c r="I255" s="13" t="n">
        <f aca="false">Annual_Data!$F$20*Y255</f>
        <v>2067.65468539746</v>
      </c>
      <c r="J255" s="13" t="n">
        <f aca="false">Annual_Data!$H$20*W255</f>
        <v>7705.28059543741</v>
      </c>
      <c r="K255" s="13" t="n">
        <f aca="false">Annual_Data!$I$20*X255</f>
        <v>4631.488016904</v>
      </c>
      <c r="L255" s="12" t="n">
        <f aca="false">K255*0.0036</f>
        <v>16.6733568608544</v>
      </c>
      <c r="M255" s="14" t="n">
        <f aca="false">K255/(I255*E255/1000)</f>
        <v>77.2404040526804</v>
      </c>
      <c r="N255" s="10" t="n">
        <f aca="false">LN(F255)</f>
        <v>-0.0996289313033311</v>
      </c>
      <c r="O255" s="10" t="n">
        <f aca="false">LN(G255)</f>
        <v>-4.56736829212535</v>
      </c>
      <c r="P255" s="10" t="n">
        <f aca="false">LN(I255)</f>
        <v>7.63417024170372</v>
      </c>
      <c r="Q255" s="10" t="n">
        <f aca="false">LN(J255)</f>
        <v>8.94966116440941</v>
      </c>
      <c r="R255" s="10" t="n">
        <f aca="false">LN(M255)</f>
        <v>4.34692268867921</v>
      </c>
      <c r="S255" s="3" t="n">
        <v>0</v>
      </c>
      <c r="T255" s="3" t="s">
        <v>47</v>
      </c>
      <c r="U255" s="15" t="n">
        <v>0.083043416255</v>
      </c>
      <c r="V255" s="15" t="n">
        <v>0.094411406748</v>
      </c>
      <c r="W255" s="15" t="n">
        <v>0.075172002453</v>
      </c>
      <c r="X255" s="15" t="n">
        <v>0.082705143159</v>
      </c>
      <c r="Y255" s="15" t="n">
        <v>1.000316732171</v>
      </c>
    </row>
    <row r="256" customFormat="false" ht="15" hidden="false" customHeight="true" outlineLevel="0" collapsed="false">
      <c r="A256" s="3" t="s">
        <v>22</v>
      </c>
      <c r="B256" s="9" t="n">
        <v>45352</v>
      </c>
      <c r="C256" s="3" t="n">
        <v>2024</v>
      </c>
      <c r="D256" s="3" t="n">
        <v>3</v>
      </c>
      <c r="E256" s="3" t="n">
        <v>31</v>
      </c>
      <c r="F256" s="10" t="n">
        <f aca="false">Annual_Data!$C$20*U256</f>
        <v>0.954954906819</v>
      </c>
      <c r="G256" s="11" t="n">
        <f aca="false">Annual_Data!$D$20*V256</f>
        <v>0.01074199065346</v>
      </c>
      <c r="H256" s="12" t="n">
        <f aca="false">Annual_Data!$E$19+(Annual_Data!$E$20-Annual_Data!$E$19)*D256/12</f>
        <v>23.41025</v>
      </c>
      <c r="I256" s="13" t="n">
        <f aca="false">Annual_Data!$F$20*Y256</f>
        <v>2059.47852777182</v>
      </c>
      <c r="J256" s="13" t="n">
        <f aca="false">Annual_Data!$H$20*W256</f>
        <v>8722.69215191037</v>
      </c>
      <c r="K256" s="13" t="n">
        <f aca="false">Annual_Data!$I$20*X256</f>
        <v>4910.482225488</v>
      </c>
      <c r="L256" s="12" t="n">
        <f aca="false">K256*0.0036</f>
        <v>17.6777360117568</v>
      </c>
      <c r="M256" s="14" t="n">
        <f aca="false">K256/(I256*E256/1000)</f>
        <v>76.9139616165238</v>
      </c>
      <c r="N256" s="10" t="n">
        <f aca="false">LN(F256)</f>
        <v>-0.046091157606787</v>
      </c>
      <c r="O256" s="10" t="n">
        <f aca="false">LN(G256)</f>
        <v>-4.53359485759234</v>
      </c>
      <c r="P256" s="10" t="n">
        <f aca="false">LN(I256)</f>
        <v>7.63020808787948</v>
      </c>
      <c r="Q256" s="10" t="n">
        <f aca="false">LN(J256)</f>
        <v>9.07368320227204</v>
      </c>
      <c r="R256" s="10" t="n">
        <f aca="false">LN(M256)</f>
        <v>4.34268741551385</v>
      </c>
      <c r="S256" s="3" t="n">
        <v>0</v>
      </c>
      <c r="T256" s="3" t="s">
        <v>47</v>
      </c>
      <c r="U256" s="15" t="n">
        <v>0.08761054191</v>
      </c>
      <c r="V256" s="15" t="n">
        <v>0.097654460486</v>
      </c>
      <c r="W256" s="15" t="n">
        <v>0.085097775184</v>
      </c>
      <c r="X256" s="15" t="n">
        <v>0.087687182598</v>
      </c>
      <c r="Y256" s="15" t="n">
        <v>0.996361164863</v>
      </c>
    </row>
    <row r="257" customFormat="false" ht="15" hidden="false" customHeight="true" outlineLevel="0" collapsed="false">
      <c r="A257" s="3" t="s">
        <v>22</v>
      </c>
      <c r="B257" s="9" t="n">
        <v>45383</v>
      </c>
      <c r="C257" s="3" t="n">
        <v>2024</v>
      </c>
      <c r="D257" s="3" t="n">
        <v>4</v>
      </c>
      <c r="E257" s="3" t="n">
        <v>30</v>
      </c>
      <c r="F257" s="10" t="n">
        <f aca="false">Annual_Data!$C$20*U257</f>
        <v>0.8778391502849</v>
      </c>
      <c r="G257" s="11" t="n">
        <f aca="false">Annual_Data!$D$20*V257</f>
        <v>0.00975641562786</v>
      </c>
      <c r="H257" s="12" t="n">
        <f aca="false">Annual_Data!$E$19+(Annual_Data!$E$20-Annual_Data!$E$19)*D257/12</f>
        <v>23.547</v>
      </c>
      <c r="I257" s="13" t="n">
        <f aca="false">Annual_Data!$F$20*Y257</f>
        <v>2051.39760475073</v>
      </c>
      <c r="J257" s="13" t="n">
        <f aca="false">Annual_Data!$H$20*W257</f>
        <v>8158.34895090307</v>
      </c>
      <c r="K257" s="13" t="n">
        <f aca="false">Annual_Data!$I$20*X257</f>
        <v>4558.805317528</v>
      </c>
      <c r="L257" s="12" t="n">
        <f aca="false">K257*0.0036</f>
        <v>16.4116991431008</v>
      </c>
      <c r="M257" s="14" t="n">
        <f aca="false">K257/(I257*E257/1000)</f>
        <v>74.0764135138973</v>
      </c>
      <c r="N257" s="10" t="n">
        <f aca="false">LN(F257)</f>
        <v>-0.130291902261308</v>
      </c>
      <c r="O257" s="10" t="n">
        <f aca="false">LN(G257)</f>
        <v>-4.62983019725424</v>
      </c>
      <c r="P257" s="10" t="n">
        <f aca="false">LN(I257)</f>
        <v>7.62627659825575</v>
      </c>
      <c r="Q257" s="10" t="n">
        <f aca="false">LN(J257)</f>
        <v>9.00679709303762</v>
      </c>
      <c r="R257" s="10" t="n">
        <f aca="false">LN(M257)</f>
        <v>4.30509717547665</v>
      </c>
      <c r="S257" s="3" t="n">
        <v>0</v>
      </c>
      <c r="T257" s="3" t="s">
        <v>47</v>
      </c>
      <c r="U257" s="15" t="n">
        <v>0.080535701861</v>
      </c>
      <c r="V257" s="15" t="n">
        <v>0.088694687526</v>
      </c>
      <c r="W257" s="15" t="n">
        <v>0.079592095285</v>
      </c>
      <c r="X257" s="15" t="n">
        <v>0.081407237813</v>
      </c>
      <c r="Y257" s="15" t="n">
        <v>0.992451671384</v>
      </c>
    </row>
    <row r="258" customFormat="false" ht="15" hidden="false" customHeight="true" outlineLevel="0" collapsed="false">
      <c r="A258" s="3" t="s">
        <v>22</v>
      </c>
      <c r="B258" s="9" t="n">
        <v>45413</v>
      </c>
      <c r="C258" s="3" t="n">
        <v>2024</v>
      </c>
      <c r="D258" s="3" t="n">
        <v>5</v>
      </c>
      <c r="E258" s="3" t="n">
        <v>31</v>
      </c>
      <c r="F258" s="10" t="n">
        <f aca="false">Annual_Data!$C$20*U258</f>
        <v>0.9043410463775</v>
      </c>
      <c r="G258" s="11" t="n">
        <f aca="false">Annual_Data!$D$20*V258</f>
        <v>0.00950643644225</v>
      </c>
      <c r="H258" s="12" t="n">
        <f aca="false">Annual_Data!$E$19+(Annual_Data!$E$20-Annual_Data!$E$19)*D258/12</f>
        <v>23.68375</v>
      </c>
      <c r="I258" s="13" t="n">
        <f aca="false">Annual_Data!$F$20*Y258</f>
        <v>2036.81142934425</v>
      </c>
      <c r="J258" s="13" t="n">
        <f aca="false">Annual_Data!$H$20*W258</f>
        <v>8271.57105112918</v>
      </c>
      <c r="K258" s="13" t="n">
        <f aca="false">Annual_Data!$I$20*X258</f>
        <v>4660.258302392</v>
      </c>
      <c r="L258" s="12" t="n">
        <f aca="false">K258*0.0036</f>
        <v>16.7769298886112</v>
      </c>
      <c r="M258" s="14" t="n">
        <f aca="false">K258/(I258*E258/1000)</f>
        <v>73.8069861620848</v>
      </c>
      <c r="N258" s="10" t="n">
        <f aca="false">LN(F258)</f>
        <v>-0.100548726044089</v>
      </c>
      <c r="O258" s="10" t="n">
        <f aca="false">LN(G258)</f>
        <v>-4.65578618955202</v>
      </c>
      <c r="P258" s="10" t="n">
        <f aca="false">LN(I258)</f>
        <v>7.61914083920936</v>
      </c>
      <c r="Q258" s="10" t="n">
        <f aca="false">LN(J258)</f>
        <v>9.02057973988253</v>
      </c>
      <c r="R258" s="10" t="n">
        <f aca="false">LN(M258)</f>
        <v>4.30145339056901</v>
      </c>
      <c r="S258" s="3" t="n">
        <v>0</v>
      </c>
      <c r="T258" s="3" t="s">
        <v>47</v>
      </c>
      <c r="U258" s="15" t="n">
        <v>0.082967068475</v>
      </c>
      <c r="V258" s="15" t="n">
        <v>0.086422149475</v>
      </c>
      <c r="W258" s="15" t="n">
        <v>0.080696679588</v>
      </c>
      <c r="X258" s="15" t="n">
        <v>0.083218898257</v>
      </c>
      <c r="Y258" s="15" t="n">
        <v>0.98539498275</v>
      </c>
    </row>
    <row r="259" customFormat="false" ht="15" hidden="false" customHeight="true" outlineLevel="0" collapsed="false">
      <c r="A259" s="3" t="s">
        <v>22</v>
      </c>
      <c r="B259" s="9" t="n">
        <v>45444</v>
      </c>
      <c r="C259" s="3" t="n">
        <v>2024</v>
      </c>
      <c r="D259" s="3" t="n">
        <v>6</v>
      </c>
      <c r="E259" s="3" t="n">
        <v>30</v>
      </c>
      <c r="F259" s="10" t="n">
        <f aca="false">Annual_Data!$C$20*U259</f>
        <v>0.8874998550014</v>
      </c>
      <c r="G259" s="11" t="n">
        <f aca="false">Annual_Data!$D$20*V259</f>
        <v>0.00938890758641</v>
      </c>
      <c r="H259" s="12" t="n">
        <f aca="false">Annual_Data!$E$19+(Annual_Data!$E$20-Annual_Data!$E$19)*D259/12</f>
        <v>23.8205</v>
      </c>
      <c r="I259" s="13" t="n">
        <f aca="false">Annual_Data!$F$20*Y259</f>
        <v>2060.2506507189</v>
      </c>
      <c r="J259" s="13" t="n">
        <f aca="false">Annual_Data!$H$20*W259</f>
        <v>8367.28086218875</v>
      </c>
      <c r="K259" s="13" t="n">
        <f aca="false">Annual_Data!$I$20*X259</f>
        <v>4583.543577704</v>
      </c>
      <c r="L259" s="12" t="n">
        <f aca="false">K259*0.0036</f>
        <v>16.5007568797344</v>
      </c>
      <c r="M259" s="14" t="n">
        <f aca="false">K259/(I259*E259/1000)</f>
        <v>74.1583485825642</v>
      </c>
      <c r="N259" s="10" t="n">
        <f aca="false">LN(F259)</f>
        <v>-0.119346921011284</v>
      </c>
      <c r="O259" s="10" t="n">
        <f aca="false">LN(G259)</f>
        <v>-4.66822633050526</v>
      </c>
      <c r="P259" s="10" t="n">
        <f aca="false">LN(I259)</f>
        <v>7.63058292948807</v>
      </c>
      <c r="Q259" s="10" t="n">
        <f aca="false">LN(J259)</f>
        <v>9.03208424358075</v>
      </c>
      <c r="R259" s="10" t="n">
        <f aca="false">LN(M259)</f>
        <v>4.30620265270551</v>
      </c>
      <c r="S259" s="3" t="n">
        <v>0</v>
      </c>
      <c r="T259" s="3" t="s">
        <v>47</v>
      </c>
      <c r="U259" s="15" t="n">
        <v>0.081422005046</v>
      </c>
      <c r="V259" s="15" t="n">
        <v>0.085353705331</v>
      </c>
      <c r="W259" s="15" t="n">
        <v>0.081630415623</v>
      </c>
      <c r="X259" s="15" t="n">
        <v>0.081848992459</v>
      </c>
      <c r="Y259" s="15" t="n">
        <v>0.996734712491</v>
      </c>
    </row>
    <row r="260" customFormat="false" ht="15" hidden="false" customHeight="true" outlineLevel="0" collapsed="false">
      <c r="A260" s="3" t="s">
        <v>22</v>
      </c>
      <c r="B260" s="9" t="n">
        <v>45474</v>
      </c>
      <c r="C260" s="3" t="n">
        <v>2024</v>
      </c>
      <c r="D260" s="3" t="n">
        <v>7</v>
      </c>
      <c r="E260" s="3" t="n">
        <v>31</v>
      </c>
      <c r="F260" s="10" t="n">
        <f aca="false">Annual_Data!$C$20*U260</f>
        <v>0.9077737026303</v>
      </c>
      <c r="G260" s="11" t="n">
        <f aca="false">Annual_Data!$D$20*V260</f>
        <v>0.00976250019459</v>
      </c>
      <c r="H260" s="12" t="n">
        <f aca="false">Annual_Data!$E$19+(Annual_Data!$E$20-Annual_Data!$E$19)*D260/12</f>
        <v>23.95725</v>
      </c>
      <c r="I260" s="13" t="n">
        <f aca="false">Annual_Data!$F$20*Y260</f>
        <v>2033.45186466903</v>
      </c>
      <c r="J260" s="13" t="n">
        <f aca="false">Annual_Data!$H$20*W260</f>
        <v>8798.13644199785</v>
      </c>
      <c r="K260" s="13" t="n">
        <f aca="false">Annual_Data!$I$20*X260</f>
        <v>4722.844529592</v>
      </c>
      <c r="L260" s="12" t="n">
        <f aca="false">K260*0.0036</f>
        <v>17.0022403065312</v>
      </c>
      <c r="M260" s="14" t="n">
        <f aca="false">K260/(I260*E260/1000)</f>
        <v>74.9217752248208</v>
      </c>
      <c r="N260" s="10" t="n">
        <f aca="false">LN(F260)</f>
        <v>-0.0967601576209324</v>
      </c>
      <c r="O260" s="10" t="n">
        <f aca="false">LN(G260)</f>
        <v>-4.62920674388394</v>
      </c>
      <c r="P260" s="10" t="n">
        <f aca="false">LN(I260)</f>
        <v>7.61749005389378</v>
      </c>
      <c r="Q260" s="10" t="n">
        <f aca="false">LN(J260)</f>
        <v>9.08229521008551</v>
      </c>
      <c r="R260" s="10" t="n">
        <f aca="false">LN(M260)</f>
        <v>4.31644457223405</v>
      </c>
      <c r="S260" s="3" t="n">
        <v>0</v>
      </c>
      <c r="T260" s="3" t="s">
        <v>47</v>
      </c>
      <c r="U260" s="15" t="n">
        <v>0.083281991067</v>
      </c>
      <c r="V260" s="15" t="n">
        <v>0.088750001769</v>
      </c>
      <c r="W260" s="15" t="n">
        <v>0.085833802677</v>
      </c>
      <c r="X260" s="15" t="n">
        <v>0.084336509457</v>
      </c>
      <c r="Y260" s="15" t="n">
        <v>0.98376964909</v>
      </c>
    </row>
    <row r="261" customFormat="false" ht="15" hidden="false" customHeight="true" outlineLevel="0" collapsed="false">
      <c r="A261" s="3" t="s">
        <v>22</v>
      </c>
      <c r="B261" s="9" t="n">
        <v>45505</v>
      </c>
      <c r="C261" s="3" t="n">
        <v>2024</v>
      </c>
      <c r="D261" s="3" t="n">
        <v>8</v>
      </c>
      <c r="E261" s="3" t="n">
        <v>31</v>
      </c>
      <c r="F261" s="10" t="n">
        <f aca="false">Annual_Data!$C$20*U261</f>
        <v>0.9287272566012</v>
      </c>
      <c r="G261" s="11" t="n">
        <f aca="false">Annual_Data!$D$20*V261</f>
        <v>0.00939946774756</v>
      </c>
      <c r="H261" s="12" t="n">
        <f aca="false">Annual_Data!$E$19+(Annual_Data!$E$20-Annual_Data!$E$19)*D261/12</f>
        <v>24.094</v>
      </c>
      <c r="I261" s="13" t="n">
        <f aca="false">Annual_Data!$F$20*Y261</f>
        <v>2056.20670137219</v>
      </c>
      <c r="J261" s="13" t="n">
        <f aca="false">Annual_Data!$H$20*W261</f>
        <v>8754.18496222974</v>
      </c>
      <c r="K261" s="13" t="n">
        <f aca="false">Annual_Data!$I$20*X261</f>
        <v>4748.868382272</v>
      </c>
      <c r="L261" s="12" t="n">
        <f aca="false">K261*0.0036</f>
        <v>17.0959261761792</v>
      </c>
      <c r="M261" s="14" t="n">
        <f aca="false">K261/(I261*E261/1000)</f>
        <v>74.5009256859762</v>
      </c>
      <c r="N261" s="10" t="n">
        <f aca="false">LN(F261)</f>
        <v>-0.0739401714317581</v>
      </c>
      <c r="O261" s="10" t="n">
        <f aca="false">LN(G261)</f>
        <v>-4.6671022139093</v>
      </c>
      <c r="P261" s="10" t="n">
        <f aca="false">LN(I261)</f>
        <v>7.62861815720854</v>
      </c>
      <c r="Q261" s="10" t="n">
        <f aca="false">LN(J261)</f>
        <v>9.07728714640925</v>
      </c>
      <c r="R261" s="10" t="n">
        <f aca="false">LN(M261)</f>
        <v>4.31081155062344</v>
      </c>
      <c r="S261" s="3" t="n">
        <v>0</v>
      </c>
      <c r="T261" s="3" t="s">
        <v>47</v>
      </c>
      <c r="U261" s="15" t="n">
        <v>0.085204335468</v>
      </c>
      <c r="V261" s="15" t="n">
        <v>0.085449706796</v>
      </c>
      <c r="W261" s="15" t="n">
        <v>0.085405016119</v>
      </c>
      <c r="X261" s="15" t="n">
        <v>0.084801221112</v>
      </c>
      <c r="Y261" s="15" t="n">
        <v>0.994778278361</v>
      </c>
    </row>
    <row r="262" customFormat="false" ht="15" hidden="false" customHeight="true" outlineLevel="0" collapsed="false">
      <c r="A262" s="3" t="s">
        <v>22</v>
      </c>
      <c r="B262" s="9" t="n">
        <v>45536</v>
      </c>
      <c r="C262" s="3" t="n">
        <v>2024</v>
      </c>
      <c r="D262" s="3" t="n">
        <v>9</v>
      </c>
      <c r="E262" s="3" t="n">
        <v>30</v>
      </c>
      <c r="F262" s="10" t="n">
        <f aca="false">Annual_Data!$C$20*U262</f>
        <v>0.8710617361859</v>
      </c>
      <c r="G262" s="11" t="n">
        <f aca="false">Annual_Data!$D$20*V262</f>
        <v>0.00790140219253</v>
      </c>
      <c r="H262" s="12" t="n">
        <f aca="false">Annual_Data!$E$19+(Annual_Data!$E$20-Annual_Data!$E$19)*D262/12</f>
        <v>24.23075</v>
      </c>
      <c r="I262" s="13" t="n">
        <f aca="false">Annual_Data!$F$20*Y262</f>
        <v>2067.05987991516</v>
      </c>
      <c r="J262" s="13" t="n">
        <f aca="false">Annual_Data!$H$20*W262</f>
        <v>8772.88964393952</v>
      </c>
      <c r="K262" s="13" t="n">
        <f aca="false">Annual_Data!$I$20*X262</f>
        <v>4436.634669824</v>
      </c>
      <c r="L262" s="12" t="n">
        <f aca="false">K262*0.0036</f>
        <v>15.9718848113664</v>
      </c>
      <c r="M262" s="14" t="n">
        <f aca="false">K262/(I262*E262/1000)</f>
        <v>71.5450112328321</v>
      </c>
      <c r="N262" s="10" t="n">
        <f aca="false">LN(F262)</f>
        <v>-0.138042424979137</v>
      </c>
      <c r="O262" s="10" t="n">
        <f aca="false">LN(G262)</f>
        <v>-4.84071504253382</v>
      </c>
      <c r="P262" s="10" t="n">
        <f aca="false">LN(I262)</f>
        <v>7.63388252874216</v>
      </c>
      <c r="Q262" s="10" t="n">
        <f aca="false">LN(J262)</f>
        <v>9.07942152299302</v>
      </c>
      <c r="R262" s="10" t="n">
        <f aca="false">LN(M262)</f>
        <v>4.27032677936242</v>
      </c>
      <c r="S262" s="3" t="n">
        <v>0</v>
      </c>
      <c r="T262" s="3" t="s">
        <v>47</v>
      </c>
      <c r="U262" s="15" t="n">
        <v>0.079913920751</v>
      </c>
      <c r="V262" s="15" t="n">
        <v>0.071830929023</v>
      </c>
      <c r="W262" s="15" t="n">
        <v>0.085587497258</v>
      </c>
      <c r="X262" s="15" t="n">
        <v>0.079225619104</v>
      </c>
      <c r="Y262" s="15" t="n">
        <v>1.00002896948</v>
      </c>
    </row>
    <row r="263" customFormat="false" ht="15" hidden="false" customHeight="true" outlineLevel="0" collapsed="false">
      <c r="A263" s="3" t="s">
        <v>22</v>
      </c>
      <c r="B263" s="9" t="n">
        <v>45566</v>
      </c>
      <c r="C263" s="3" t="n">
        <v>2024</v>
      </c>
      <c r="D263" s="3" t="n">
        <v>10</v>
      </c>
      <c r="E263" s="3" t="n">
        <v>31</v>
      </c>
      <c r="F263" s="10" t="n">
        <f aca="false">Annual_Data!$C$20*U263</f>
        <v>0.8729762211784</v>
      </c>
      <c r="G263" s="11" t="n">
        <f aca="false">Annual_Data!$D$20*V263</f>
        <v>0.00742673550201</v>
      </c>
      <c r="H263" s="12" t="n">
        <f aca="false">Annual_Data!$E$19+(Annual_Data!$E$20-Annual_Data!$E$19)*D263/12</f>
        <v>24.3675</v>
      </c>
      <c r="I263" s="13" t="n">
        <f aca="false">Annual_Data!$F$20*Y263</f>
        <v>2092.39891982667</v>
      </c>
      <c r="J263" s="13" t="n">
        <f aca="false">Annual_Data!$H$20*W263</f>
        <v>9089.89348592215</v>
      </c>
      <c r="K263" s="13" t="n">
        <f aca="false">Annual_Data!$I$20*X263</f>
        <v>4525.955270928</v>
      </c>
      <c r="L263" s="12" t="n">
        <f aca="false">K263*0.0036</f>
        <v>16.2934389753408</v>
      </c>
      <c r="M263" s="14" t="n">
        <f aca="false">K263/(I263*E263/1000)</f>
        <v>69.775679839676</v>
      </c>
      <c r="N263" s="10" t="n">
        <f aca="false">LN(F263)</f>
        <v>-0.135846961568022</v>
      </c>
      <c r="O263" s="10" t="n">
        <f aca="false">LN(G263)</f>
        <v>-4.90266888396132</v>
      </c>
      <c r="P263" s="10" t="n">
        <f aca="false">LN(I263)</f>
        <v>7.64606649525979</v>
      </c>
      <c r="Q263" s="10" t="n">
        <f aca="false">LN(J263)</f>
        <v>9.11491846938254</v>
      </c>
      <c r="R263" s="10" t="n">
        <f aca="false">LN(M263)</f>
        <v>4.24528552268808</v>
      </c>
      <c r="S263" s="3" t="n">
        <v>0</v>
      </c>
      <c r="T263" s="3" t="s">
        <v>47</v>
      </c>
      <c r="U263" s="15" t="n">
        <v>0.080089561576</v>
      </c>
      <c r="V263" s="15" t="n">
        <v>0.067515777291</v>
      </c>
      <c r="W263" s="15" t="n">
        <v>0.088680157323</v>
      </c>
      <c r="X263" s="15" t="n">
        <v>0.080820629838</v>
      </c>
      <c r="Y263" s="15" t="n">
        <v>1.01228781801</v>
      </c>
    </row>
    <row r="264" customFormat="false" ht="15" hidden="false" customHeight="true" outlineLevel="0" collapsed="false">
      <c r="A264" s="3" t="s">
        <v>22</v>
      </c>
      <c r="B264" s="9" t="n">
        <v>45597</v>
      </c>
      <c r="C264" s="3" t="n">
        <v>2024</v>
      </c>
      <c r="D264" s="3" t="n">
        <v>11</v>
      </c>
      <c r="E264" s="3" t="n">
        <v>30</v>
      </c>
      <c r="F264" s="10" t="n">
        <f aca="false">Annual_Data!$C$20*U264</f>
        <v>0.884493242536</v>
      </c>
      <c r="G264" s="11" t="n">
        <f aca="false">Annual_Data!$D$20*V264</f>
        <v>0.00669306600974</v>
      </c>
      <c r="H264" s="12" t="n">
        <f aca="false">Annual_Data!$E$19+(Annual_Data!$E$20-Annual_Data!$E$19)*D264/12</f>
        <v>24.50425</v>
      </c>
      <c r="I264" s="13" t="n">
        <f aca="false">Annual_Data!$F$20*Y264</f>
        <v>2086.8249708955</v>
      </c>
      <c r="J264" s="13" t="n">
        <f aca="false">Annual_Data!$H$20*W264</f>
        <v>8478.14605828238</v>
      </c>
      <c r="K264" s="13" t="n">
        <f aca="false">Annual_Data!$I$20*X264</f>
        <v>4453.867347608</v>
      </c>
      <c r="L264" s="12" t="n">
        <f aca="false">K264*0.0036</f>
        <v>16.0339224513888</v>
      </c>
      <c r="M264" s="14" t="n">
        <f aca="false">K264/(I264*E264/1000)</f>
        <v>71.1426434851212</v>
      </c>
      <c r="N264" s="10" t="n">
        <f aca="false">LN(F264)</f>
        <v>-0.122740405280334</v>
      </c>
      <c r="O264" s="10" t="n">
        <f aca="false">LN(G264)</f>
        <v>-5.00668321240816</v>
      </c>
      <c r="P264" s="10" t="n">
        <f aca="false">LN(I264)</f>
        <v>7.64339903719486</v>
      </c>
      <c r="Q264" s="10" t="n">
        <f aca="false">LN(J264)</f>
        <v>9.04524707968143</v>
      </c>
      <c r="R264" s="10" t="n">
        <f aca="false">LN(M264)</f>
        <v>4.26468692474364</v>
      </c>
      <c r="S264" s="3" t="n">
        <v>0</v>
      </c>
      <c r="T264" s="3" t="s">
        <v>47</v>
      </c>
      <c r="U264" s="15" t="n">
        <v>0.08114616904</v>
      </c>
      <c r="V264" s="15" t="n">
        <v>0.060846054634</v>
      </c>
      <c r="W264" s="15" t="n">
        <v>0.082712006188</v>
      </c>
      <c r="X264" s="15" t="n">
        <v>0.079533345493</v>
      </c>
      <c r="Y264" s="15" t="n">
        <v>1.009591180888</v>
      </c>
    </row>
    <row r="265" customFormat="false" ht="15" hidden="false" customHeight="true" outlineLevel="0" collapsed="false">
      <c r="A265" s="3" t="s">
        <v>22</v>
      </c>
      <c r="B265" s="9" t="n">
        <v>45627</v>
      </c>
      <c r="C265" s="3" t="n">
        <v>2024</v>
      </c>
      <c r="D265" s="3" t="n">
        <v>12</v>
      </c>
      <c r="E265" s="3" t="n">
        <v>31</v>
      </c>
      <c r="F265" s="10" t="n">
        <f aca="false">Annual_Data!$C$20*U265</f>
        <v>0.9203663529919</v>
      </c>
      <c r="G265" s="11" t="n">
        <f aca="false">Annual_Data!$D$20*V265</f>
        <v>0.0070329130124</v>
      </c>
      <c r="H265" s="12" t="n">
        <f aca="false">Annual_Data!$E$19+(Annual_Data!$E$20-Annual_Data!$E$19)*D265/12</f>
        <v>24.641</v>
      </c>
      <c r="I265" s="13" t="n">
        <f aca="false">Annual_Data!$F$20*Y265</f>
        <v>2103.91018238018</v>
      </c>
      <c r="J265" s="13" t="n">
        <f aca="false">Annual_Data!$H$20*W265</f>
        <v>9135.19168227215</v>
      </c>
      <c r="K265" s="13" t="n">
        <f aca="false">Annual_Data!$I$20*X265</f>
        <v>4645.460106</v>
      </c>
      <c r="L265" s="12" t="n">
        <f aca="false">K265*0.0036</f>
        <v>16.7236563816</v>
      </c>
      <c r="M265" s="14" t="n">
        <f aca="false">K265/(I265*E265/1000)</f>
        <v>71.2262115851926</v>
      </c>
      <c r="N265" s="10" t="n">
        <f aca="false">LN(F265)</f>
        <v>-0.0829834784297167</v>
      </c>
      <c r="O265" s="10" t="n">
        <f aca="false">LN(G265)</f>
        <v>-4.95715429022414</v>
      </c>
      <c r="P265" s="10" t="n">
        <f aca="false">LN(I265)</f>
        <v>7.65155288396359</v>
      </c>
      <c r="Q265" s="10" t="n">
        <f aca="false">LN(J265)</f>
        <v>9.11988945187298</v>
      </c>
      <c r="R265" s="10" t="n">
        <f aca="false">LN(M265)</f>
        <v>4.26586089091241</v>
      </c>
      <c r="S265" s="3" t="n">
        <v>0</v>
      </c>
      <c r="T265" s="3" t="s">
        <v>47</v>
      </c>
      <c r="U265" s="15" t="n">
        <v>0.084437280091</v>
      </c>
      <c r="V265" s="15" t="n">
        <v>0.06393557284</v>
      </c>
      <c r="W265" s="15" t="n">
        <v>0.089122082323</v>
      </c>
      <c r="X265" s="15" t="n">
        <v>0.08295464475</v>
      </c>
      <c r="Y265" s="15" t="n">
        <v>1.017856885525</v>
      </c>
    </row>
    <row r="266" customFormat="false" ht="15" hidden="false" customHeight="true" outlineLevel="0" collapsed="false">
      <c r="A266" s="3" t="s">
        <v>22</v>
      </c>
      <c r="B266" s="9" t="n">
        <v>45658</v>
      </c>
      <c r="C266" s="3" t="n">
        <v>2025</v>
      </c>
      <c r="D266" s="3" t="n">
        <v>1</v>
      </c>
      <c r="E266" s="3" t="n">
        <v>31</v>
      </c>
      <c r="F266" s="10" t="n">
        <f aca="false">Annual_Data!$C$21*U266</f>
        <v>0.88712897515708</v>
      </c>
      <c r="G266" s="11" t="n">
        <f aca="false">Annual_Data!$D$21*V266</f>
        <v>0.00651190663195</v>
      </c>
      <c r="H266" s="12" t="n">
        <f aca="false">Annual_Data!$E$20+(Annual_Data!$E$21-Annual_Data!$E$20)*D266/12</f>
        <v>24.6375833333333</v>
      </c>
      <c r="I266" s="13" t="n">
        <f aca="false">Annual_Data!$F$21*Y266</f>
        <v>2078.3409694763</v>
      </c>
      <c r="J266" s="13" t="n">
        <f aca="false">Annual_Data!$H$21*W266</f>
        <v>8915.46707925827</v>
      </c>
      <c r="K266" s="13" t="n">
        <f aca="false">Annual_Data!$I$21*X266</f>
        <v>4456.375639674</v>
      </c>
      <c r="L266" s="12" t="n">
        <f aca="false">K266*0.0036</f>
        <v>16.0429523028264</v>
      </c>
      <c r="M266" s="14" t="n">
        <f aca="false">K266/(I266*E266/1000)</f>
        <v>69.1676943311823</v>
      </c>
      <c r="N266" s="10" t="n">
        <f aca="false">LN(F266)</f>
        <v>-0.119764901203442</v>
      </c>
      <c r="O266" s="10" t="n">
        <f aca="false">LN(G266)</f>
        <v>-5.0341229882302</v>
      </c>
      <c r="P266" s="10" t="n">
        <f aca="false">LN(I266)</f>
        <v>7.6393252436059</v>
      </c>
      <c r="Q266" s="10" t="n">
        <f aca="false">LN(J266)</f>
        <v>9.09554292143835</v>
      </c>
      <c r="R266" s="10" t="n">
        <f aca="false">LN(M266)</f>
        <v>4.23653390869249</v>
      </c>
      <c r="S266" s="3" t="n">
        <v>0</v>
      </c>
      <c r="T266" s="3" t="s">
        <v>47</v>
      </c>
      <c r="U266" s="15" t="n">
        <v>0.088359459677</v>
      </c>
      <c r="V266" s="15" t="n">
        <v>0.130238132639</v>
      </c>
      <c r="W266" s="15" t="n">
        <v>0.084244879231</v>
      </c>
      <c r="X266" s="15" t="n">
        <v>0.090946441626</v>
      </c>
      <c r="Y266" s="15" t="n">
        <v>0.972550757827</v>
      </c>
    </row>
    <row r="267" customFormat="false" ht="15" hidden="false" customHeight="true" outlineLevel="0" collapsed="false">
      <c r="A267" s="3" t="s">
        <v>22</v>
      </c>
      <c r="B267" s="9" t="n">
        <v>45689</v>
      </c>
      <c r="C267" s="3" t="n">
        <v>2025</v>
      </c>
      <c r="D267" s="3" t="n">
        <v>2</v>
      </c>
      <c r="E267" s="3" t="n">
        <v>28</v>
      </c>
      <c r="F267" s="10" t="n">
        <f aca="false">Annual_Data!$C$21*U267</f>
        <v>0.78440225465428</v>
      </c>
      <c r="G267" s="11" t="n">
        <f aca="false">Annual_Data!$D$21*V267</f>
        <v>0.0051057497846</v>
      </c>
      <c r="H267" s="12" t="n">
        <f aca="false">Annual_Data!$E$20+(Annual_Data!$E$21-Annual_Data!$E$20)*D267/12</f>
        <v>24.6341666666667</v>
      </c>
      <c r="I267" s="13" t="n">
        <f aca="false">Annual_Data!$F$21*Y267</f>
        <v>2098.32196040412</v>
      </c>
      <c r="J267" s="13" t="n">
        <f aca="false">Annual_Data!$H$21*W267</f>
        <v>7932.83686707337</v>
      </c>
      <c r="K267" s="13" t="n">
        <f aca="false">Annual_Data!$I$21*X267</f>
        <v>3911.72997208</v>
      </c>
      <c r="L267" s="12" t="n">
        <f aca="false">K267*0.0036</f>
        <v>14.082227899488</v>
      </c>
      <c r="M267" s="14" t="n">
        <f aca="false">K267/(I267*E267/1000)</f>
        <v>66.5792211568399</v>
      </c>
      <c r="N267" s="10" t="n">
        <f aca="false">LN(F267)</f>
        <v>-0.24283331029605</v>
      </c>
      <c r="O267" s="10" t="n">
        <f aca="false">LN(G267)</f>
        <v>-5.27738796555474</v>
      </c>
      <c r="P267" s="10" t="n">
        <f aca="false">LN(I267)</f>
        <v>7.6488932378135</v>
      </c>
      <c r="Q267" s="10" t="n">
        <f aca="false">LN(J267)</f>
        <v>8.97876598925259</v>
      </c>
      <c r="R267" s="10" t="n">
        <f aca="false">LN(M267)</f>
        <v>4.19839253422385</v>
      </c>
      <c r="S267" s="3" t="n">
        <v>0</v>
      </c>
      <c r="T267" s="3" t="s">
        <v>47</v>
      </c>
      <c r="U267" s="15" t="n">
        <v>0.078127714607</v>
      </c>
      <c r="V267" s="15" t="n">
        <v>0.102114995692</v>
      </c>
      <c r="W267" s="15" t="n">
        <v>0.074959716399</v>
      </c>
      <c r="X267" s="15" t="n">
        <v>0.07983122392</v>
      </c>
      <c r="Y267" s="15" t="n">
        <v>0.981900776979</v>
      </c>
    </row>
    <row r="268" customFormat="false" ht="15" hidden="false" customHeight="true" outlineLevel="0" collapsed="false">
      <c r="A268" s="3" t="s">
        <v>22</v>
      </c>
      <c r="B268" s="9" t="n">
        <v>45717</v>
      </c>
      <c r="C268" s="3" t="n">
        <v>2025</v>
      </c>
      <c r="D268" s="3" t="n">
        <v>3</v>
      </c>
      <c r="E268" s="3" t="n">
        <v>31</v>
      </c>
      <c r="F268" s="10" t="n">
        <f aca="false">Annual_Data!$C$21*U268</f>
        <v>0.8669704868848</v>
      </c>
      <c r="G268" s="11" t="n">
        <f aca="false">Annual_Data!$D$21*V268</f>
        <v>0.00516538534945</v>
      </c>
      <c r="H268" s="12" t="n">
        <f aca="false">Annual_Data!$E$20+(Annual_Data!$E$21-Annual_Data!$E$20)*D268/12</f>
        <v>24.63075</v>
      </c>
      <c r="I268" s="13" t="n">
        <f aca="false">Annual_Data!$F$21*Y268</f>
        <v>2106.60694017082</v>
      </c>
      <c r="J268" s="13" t="n">
        <f aca="false">Annual_Data!$H$21*W268</f>
        <v>8691.68363271348</v>
      </c>
      <c r="K268" s="13" t="n">
        <f aca="false">Annual_Data!$I$21*X268</f>
        <v>4279.242845997</v>
      </c>
      <c r="L268" s="12" t="n">
        <f aca="false">K268*0.0036</f>
        <v>15.4052742455892</v>
      </c>
      <c r="M268" s="14" t="n">
        <f aca="false">K268/(I268*E268/1000)</f>
        <v>65.5272178089196</v>
      </c>
      <c r="N268" s="10" t="n">
        <f aca="false">LN(F268)</f>
        <v>-0.142750343282947</v>
      </c>
      <c r="O268" s="10" t="n">
        <f aca="false">LN(G268)</f>
        <v>-5.265775571362</v>
      </c>
      <c r="P268" s="10" t="n">
        <f aca="false">LN(I268)</f>
        <v>7.65283384688615</v>
      </c>
      <c r="Q268" s="10" t="n">
        <f aca="false">LN(J268)</f>
        <v>9.07012194318901</v>
      </c>
      <c r="R268" s="10" t="n">
        <f aca="false">LN(M268)</f>
        <v>4.18246559539623</v>
      </c>
      <c r="S268" s="3" t="n">
        <v>0</v>
      </c>
      <c r="T268" s="3" t="s">
        <v>47</v>
      </c>
      <c r="U268" s="15" t="n">
        <v>0.08635164212</v>
      </c>
      <c r="V268" s="15" t="n">
        <v>0.103307706989</v>
      </c>
      <c r="W268" s="15" t="n">
        <v>0.08213028341</v>
      </c>
      <c r="X268" s="15" t="n">
        <v>0.087331486653</v>
      </c>
      <c r="Y268" s="15" t="n">
        <v>0.985777697787</v>
      </c>
    </row>
    <row r="269" customFormat="false" ht="15" hidden="false" customHeight="true" outlineLevel="0" collapsed="false">
      <c r="A269" s="3" t="s">
        <v>22</v>
      </c>
      <c r="B269" s="9" t="n">
        <v>45748</v>
      </c>
      <c r="C269" s="3" t="n">
        <v>2025</v>
      </c>
      <c r="D269" s="3" t="n">
        <v>4</v>
      </c>
      <c r="E269" s="3" t="n">
        <v>30</v>
      </c>
      <c r="F269" s="10" t="n">
        <f aca="false">Annual_Data!$C$21*U269</f>
        <v>0.82003690857704</v>
      </c>
      <c r="G269" s="11" t="n">
        <f aca="false">Annual_Data!$D$21*V269</f>
        <v>0.00448485422805</v>
      </c>
      <c r="H269" s="12" t="n">
        <f aca="false">Annual_Data!$E$20+(Annual_Data!$E$21-Annual_Data!$E$20)*D269/12</f>
        <v>24.6273333333333</v>
      </c>
      <c r="I269" s="13" t="n">
        <f aca="false">Annual_Data!$F$21*Y269</f>
        <v>2124.87719259052</v>
      </c>
      <c r="J269" s="13" t="n">
        <f aca="false">Annual_Data!$H$21*W269</f>
        <v>8967.77847155577</v>
      </c>
      <c r="K269" s="13" t="n">
        <f aca="false">Annual_Data!$I$21*X269</f>
        <v>4003.758598987</v>
      </c>
      <c r="L269" s="12" t="n">
        <f aca="false">K269*0.0036</f>
        <v>14.4135309563532</v>
      </c>
      <c r="M269" s="14" t="n">
        <f aca="false">K269/(I269*E269/1000)</f>
        <v>62.8076862190462</v>
      </c>
      <c r="N269" s="10" t="n">
        <f aca="false">LN(F269)</f>
        <v>-0.198405929276974</v>
      </c>
      <c r="O269" s="10" t="n">
        <f aca="false">LN(G269)</f>
        <v>-5.40704928610661</v>
      </c>
      <c r="P269" s="10" t="n">
        <f aca="false">LN(I269)</f>
        <v>7.66146928796641</v>
      </c>
      <c r="Q269" s="10" t="n">
        <f aca="false">LN(J269)</f>
        <v>9.10139326234562</v>
      </c>
      <c r="R269" s="10" t="n">
        <f aca="false">LN(M269)</f>
        <v>4.14007745800789</v>
      </c>
      <c r="S269" s="3" t="n">
        <v>0</v>
      </c>
      <c r="T269" s="3" t="s">
        <v>47</v>
      </c>
      <c r="U269" s="15" t="n">
        <v>0.081676982926</v>
      </c>
      <c r="V269" s="15" t="n">
        <v>0.089697084561</v>
      </c>
      <c r="W269" s="15" t="n">
        <v>0.084739185013</v>
      </c>
      <c r="X269" s="15" t="n">
        <v>0.081709359163</v>
      </c>
      <c r="Y269" s="15" t="n">
        <v>0.994327184179</v>
      </c>
    </row>
    <row r="270" customFormat="false" ht="15" hidden="false" customHeight="true" outlineLevel="0" collapsed="false">
      <c r="A270" s="3" t="s">
        <v>22</v>
      </c>
      <c r="B270" s="9" t="n">
        <v>45778</v>
      </c>
      <c r="C270" s="3" t="n">
        <v>2025</v>
      </c>
      <c r="D270" s="3" t="n">
        <v>5</v>
      </c>
      <c r="E270" s="3" t="n">
        <v>31</v>
      </c>
      <c r="F270" s="10" t="n">
        <f aca="false">Annual_Data!$C$21*U270</f>
        <v>0.83014086007388</v>
      </c>
      <c r="G270" s="11" t="n">
        <f aca="false">Annual_Data!$D$21*V270</f>
        <v>0.00426574650705</v>
      </c>
      <c r="H270" s="12" t="n">
        <f aca="false">Annual_Data!$E$20+(Annual_Data!$E$21-Annual_Data!$E$20)*D270/12</f>
        <v>24.6239166666667</v>
      </c>
      <c r="I270" s="13" t="n">
        <f aca="false">Annual_Data!$F$21*Y270</f>
        <v>2115.89533997886</v>
      </c>
      <c r="J270" s="13" t="n">
        <f aca="false">Annual_Data!$H$21*W270</f>
        <v>8831.03648406284</v>
      </c>
      <c r="K270" s="13" t="n">
        <f aca="false">Annual_Data!$I$21*X270</f>
        <v>4051.4249237</v>
      </c>
      <c r="L270" s="12" t="n">
        <f aca="false">K270*0.0036</f>
        <v>14.58512972532</v>
      </c>
      <c r="M270" s="14" t="n">
        <f aca="false">K270/(I270*E270/1000)</f>
        <v>61.7663473715451</v>
      </c>
      <c r="N270" s="10" t="n">
        <f aca="false">LN(F270)</f>
        <v>-0.186159881658379</v>
      </c>
      <c r="O270" s="10" t="n">
        <f aca="false">LN(G270)</f>
        <v>-5.45713808239331</v>
      </c>
      <c r="P270" s="10" t="n">
        <f aca="false">LN(I270)</f>
        <v>7.65723333049731</v>
      </c>
      <c r="Q270" s="10" t="n">
        <f aca="false">LN(J270)</f>
        <v>9.08602766882284</v>
      </c>
      <c r="R270" s="10" t="n">
        <f aca="false">LN(M270)</f>
        <v>4.12335867523389</v>
      </c>
      <c r="S270" s="3" t="n">
        <v>0</v>
      </c>
      <c r="T270" s="3" t="s">
        <v>47</v>
      </c>
      <c r="U270" s="15" t="n">
        <v>0.082683352597</v>
      </c>
      <c r="V270" s="15" t="n">
        <v>0.085314930141</v>
      </c>
      <c r="W270" s="15" t="n">
        <v>0.083447069623</v>
      </c>
      <c r="X270" s="15" t="n">
        <v>0.0826821413</v>
      </c>
      <c r="Y270" s="15" t="n">
        <v>0.990124164707</v>
      </c>
    </row>
    <row r="271" customFormat="false" ht="15" hidden="false" customHeight="true" outlineLevel="0" collapsed="false">
      <c r="A271" s="3" t="s">
        <v>22</v>
      </c>
      <c r="B271" s="9" t="n">
        <v>45809</v>
      </c>
      <c r="C271" s="3" t="n">
        <v>2025</v>
      </c>
      <c r="D271" s="3" t="n">
        <v>6</v>
      </c>
      <c r="E271" s="3" t="n">
        <v>30</v>
      </c>
      <c r="F271" s="10" t="n">
        <f aca="false">Annual_Data!$C$21*U271</f>
        <v>0.82794636953368</v>
      </c>
      <c r="G271" s="11" t="n">
        <f aca="false">Annual_Data!$D$21*V271</f>
        <v>0.00396553365945</v>
      </c>
      <c r="H271" s="12" t="n">
        <f aca="false">Annual_Data!$E$20+(Annual_Data!$E$21-Annual_Data!$E$20)*D271/12</f>
        <v>24.6205</v>
      </c>
      <c r="I271" s="13" t="n">
        <f aca="false">Annual_Data!$F$21*Y271</f>
        <v>2151.77538985968</v>
      </c>
      <c r="J271" s="13" t="n">
        <f aca="false">Annual_Data!$H$21*W271</f>
        <v>8462.53605725146</v>
      </c>
      <c r="K271" s="13" t="n">
        <f aca="false">Annual_Data!$I$21*X271</f>
        <v>4033.865832794</v>
      </c>
      <c r="L271" s="12" t="n">
        <f aca="false">K271*0.0036</f>
        <v>14.5219169980584</v>
      </c>
      <c r="M271" s="14" t="n">
        <f aca="false">K271/(I271*E271/1000)</f>
        <v>62.4889544978183</v>
      </c>
      <c r="N271" s="10" t="n">
        <f aca="false">LN(F271)</f>
        <v>-0.188806897789205</v>
      </c>
      <c r="O271" s="10" t="n">
        <f aca="false">LN(G271)</f>
        <v>-5.5301148404048</v>
      </c>
      <c r="P271" s="10" t="n">
        <f aca="false">LN(I271)</f>
        <v>7.67404854309268</v>
      </c>
      <c r="Q271" s="10" t="n">
        <f aca="false">LN(J271)</f>
        <v>9.0434041780388</v>
      </c>
      <c r="R271" s="10" t="n">
        <f aca="false">LN(M271)</f>
        <v>4.13498981308921</v>
      </c>
      <c r="S271" s="3" t="n">
        <v>0</v>
      </c>
      <c r="T271" s="3" t="s">
        <v>47</v>
      </c>
      <c r="U271" s="15" t="n">
        <v>0.082464777842</v>
      </c>
      <c r="V271" s="15" t="n">
        <v>0.079310673189</v>
      </c>
      <c r="W271" s="15" t="n">
        <v>0.079965000352</v>
      </c>
      <c r="X271" s="15" t="n">
        <v>0.082323792506</v>
      </c>
      <c r="Y271" s="15" t="n">
        <v>1.006914080421</v>
      </c>
    </row>
    <row r="272" customFormat="false" ht="15" hidden="false" customHeight="true" outlineLevel="0" collapsed="false">
      <c r="A272" s="3" t="s">
        <v>22</v>
      </c>
      <c r="B272" s="9" t="n">
        <v>45839</v>
      </c>
      <c r="C272" s="3" t="n">
        <v>2025</v>
      </c>
      <c r="D272" s="3" t="n">
        <v>7</v>
      </c>
      <c r="E272" s="3" t="n">
        <v>31</v>
      </c>
      <c r="F272" s="10" t="n">
        <f aca="false">Annual_Data!$C$21*U272</f>
        <v>0.86915021744028</v>
      </c>
      <c r="G272" s="11" t="n">
        <f aca="false">Annual_Data!$D$21*V272</f>
        <v>0.0038734843571</v>
      </c>
      <c r="H272" s="12" t="n">
        <f aca="false">Annual_Data!$E$20+(Annual_Data!$E$21-Annual_Data!$E$20)*D272/12</f>
        <v>24.6170833333333</v>
      </c>
      <c r="I272" s="13" t="n">
        <f aca="false">Annual_Data!$F$21*Y272</f>
        <v>2162.16093125471</v>
      </c>
      <c r="J272" s="13" t="n">
        <f aca="false">Annual_Data!$H$21*W272</f>
        <v>9194.8903109304</v>
      </c>
      <c r="K272" s="13" t="n">
        <f aca="false">Annual_Data!$I$21*X272</f>
        <v>4181.733422286</v>
      </c>
      <c r="L272" s="12" t="n">
        <f aca="false">K272*0.0036</f>
        <v>15.0542403202296</v>
      </c>
      <c r="M272" s="14" t="n">
        <f aca="false">K272/(I272*E272/1000)</f>
        <v>62.3888002855896</v>
      </c>
      <c r="N272" s="10" t="n">
        <f aca="false">LN(F272)</f>
        <v>-0.140239306238838</v>
      </c>
      <c r="O272" s="10" t="n">
        <f aca="false">LN(G272)</f>
        <v>-5.55360082634116</v>
      </c>
      <c r="P272" s="10" t="n">
        <f aca="false">LN(I272)</f>
        <v>7.67886343171694</v>
      </c>
      <c r="Q272" s="10" t="n">
        <f aca="false">LN(J272)</f>
        <v>9.12640320775905</v>
      </c>
      <c r="R272" s="10" t="n">
        <f aca="false">LN(M272)</f>
        <v>4.13338577666372</v>
      </c>
      <c r="S272" s="3" t="n">
        <v>0</v>
      </c>
      <c r="T272" s="3" t="s">
        <v>47</v>
      </c>
      <c r="U272" s="15" t="n">
        <v>0.086568746757</v>
      </c>
      <c r="V272" s="15" t="n">
        <v>0.077469687142</v>
      </c>
      <c r="W272" s="15" t="n">
        <v>0.0868852318</v>
      </c>
      <c r="X272" s="15" t="n">
        <v>0.085341498414</v>
      </c>
      <c r="Y272" s="15" t="n">
        <v>1.011773950049</v>
      </c>
    </row>
    <row r="273" customFormat="false" ht="15" hidden="false" customHeight="true" outlineLevel="0" collapsed="false">
      <c r="A273" s="3" t="s">
        <v>22</v>
      </c>
      <c r="B273" s="9" t="n">
        <v>45870</v>
      </c>
      <c r="C273" s="3" t="n">
        <v>2025</v>
      </c>
      <c r="D273" s="3" t="n">
        <v>8</v>
      </c>
      <c r="E273" s="3" t="n">
        <v>31</v>
      </c>
      <c r="F273" s="10" t="n">
        <f aca="false">Annual_Data!$C$21*U273</f>
        <v>0.85693843191832</v>
      </c>
      <c r="G273" s="11" t="n">
        <f aca="false">Annual_Data!$D$21*V273</f>
        <v>0.00380009436755</v>
      </c>
      <c r="H273" s="12" t="n">
        <f aca="false">Annual_Data!$E$20+(Annual_Data!$E$21-Annual_Data!$E$20)*D273/12</f>
        <v>24.6136666666667</v>
      </c>
      <c r="I273" s="13" t="n">
        <f aca="false">Annual_Data!$F$21*Y273</f>
        <v>2149.2440974027</v>
      </c>
      <c r="J273" s="13" t="n">
        <f aca="false">Annual_Data!$H$21*W273</f>
        <v>8989.29902300671</v>
      </c>
      <c r="K273" s="13" t="n">
        <f aca="false">Annual_Data!$I$21*X273</f>
        <v>4147.811182886</v>
      </c>
      <c r="L273" s="12" t="n">
        <f aca="false">K273*0.0036</f>
        <v>14.9321202583896</v>
      </c>
      <c r="M273" s="14" t="n">
        <f aca="false">K273/(I273*E273/1000)</f>
        <v>62.2546135638814</v>
      </c>
      <c r="N273" s="10" t="n">
        <f aca="false">LN(F273)</f>
        <v>-0.154389204367268</v>
      </c>
      <c r="O273" s="10" t="n">
        <f aca="false">LN(G273)</f>
        <v>-5.57272937899236</v>
      </c>
      <c r="P273" s="10" t="n">
        <f aca="false">LN(I273)</f>
        <v>7.67287147669866</v>
      </c>
      <c r="Q273" s="10" t="n">
        <f aca="false">LN(J273)</f>
        <v>9.1037901514564</v>
      </c>
      <c r="R273" s="10" t="n">
        <f aca="false">LN(M273)</f>
        <v>4.13123264607456</v>
      </c>
      <c r="S273" s="3" t="n">
        <v>0</v>
      </c>
      <c r="T273" s="3" t="s">
        <v>47</v>
      </c>
      <c r="U273" s="15" t="n">
        <v>0.085352433458</v>
      </c>
      <c r="V273" s="15" t="n">
        <v>0.076001887351</v>
      </c>
      <c r="W273" s="15" t="n">
        <v>0.084942539054</v>
      </c>
      <c r="X273" s="15" t="n">
        <v>0.084649207814</v>
      </c>
      <c r="Y273" s="15" t="n">
        <v>1.005729572954</v>
      </c>
    </row>
    <row r="274" customFormat="false" ht="15" hidden="false" customHeight="true" outlineLevel="0" collapsed="false">
      <c r="A274" s="3" t="s">
        <v>22</v>
      </c>
      <c r="B274" s="9" t="n">
        <v>45901</v>
      </c>
      <c r="C274" s="3" t="n">
        <v>2025</v>
      </c>
      <c r="D274" s="3" t="n">
        <v>9</v>
      </c>
      <c r="E274" s="3" t="n">
        <v>30</v>
      </c>
      <c r="F274" s="10" t="n">
        <f aca="false">Annual_Data!$C$21*U274</f>
        <v>0.79775069382684</v>
      </c>
      <c r="G274" s="11" t="n">
        <f aca="false">Annual_Data!$D$21*V274</f>
        <v>0.00327909865375</v>
      </c>
      <c r="H274" s="12" t="n">
        <f aca="false">Annual_Data!$E$20+(Annual_Data!$E$21-Annual_Data!$E$20)*D274/12</f>
        <v>24.61025</v>
      </c>
      <c r="I274" s="13" t="n">
        <f aca="false">Annual_Data!$F$21*Y274</f>
        <v>2163.11035343474</v>
      </c>
      <c r="J274" s="13" t="n">
        <f aca="false">Annual_Data!$H$21*W274</f>
        <v>8989.00762920686</v>
      </c>
      <c r="K274" s="13" t="n">
        <f aca="false">Annual_Data!$I$21*X274</f>
        <v>3914.120478926</v>
      </c>
      <c r="L274" s="12" t="n">
        <f aca="false">K274*0.0036</f>
        <v>14.0908337241336</v>
      </c>
      <c r="M274" s="14" t="n">
        <f aca="false">K274/(I274*E274/1000)</f>
        <v>60.3162397256783</v>
      </c>
      <c r="N274" s="10" t="n">
        <f aca="false">LN(F274)</f>
        <v>-0.225959144094498</v>
      </c>
      <c r="O274" s="10" t="n">
        <f aca="false">LN(G274)</f>
        <v>-5.72018669503669</v>
      </c>
      <c r="P274" s="10" t="n">
        <f aca="false">LN(I274)</f>
        <v>7.67930244334547</v>
      </c>
      <c r="Q274" s="10" t="n">
        <f aca="false">LN(J274)</f>
        <v>9.10375773530002</v>
      </c>
      <c r="R274" s="10" t="n">
        <f aca="false">LN(M274)</f>
        <v>4.09960138299128</v>
      </c>
      <c r="S274" s="3" t="n">
        <v>0</v>
      </c>
      <c r="T274" s="3" t="s">
        <v>47</v>
      </c>
      <c r="U274" s="15" t="n">
        <v>0.079457240421</v>
      </c>
      <c r="V274" s="15" t="n">
        <v>0.065581973075</v>
      </c>
      <c r="W274" s="15" t="n">
        <v>0.084939785588</v>
      </c>
      <c r="X274" s="15" t="n">
        <v>0.079880009774</v>
      </c>
      <c r="Y274" s="15" t="n">
        <v>1.012218228093</v>
      </c>
    </row>
    <row r="275" customFormat="false" ht="15" hidden="false" customHeight="true" outlineLevel="0" collapsed="false">
      <c r="A275" s="3" t="s">
        <v>22</v>
      </c>
      <c r="B275" s="9" t="n">
        <v>45931</v>
      </c>
      <c r="C275" s="3" t="n">
        <v>2025</v>
      </c>
      <c r="D275" s="3" t="n">
        <v>10</v>
      </c>
      <c r="E275" s="3" t="n">
        <v>31</v>
      </c>
      <c r="F275" s="10" t="n">
        <f aca="false">Annual_Data!$C$21*U275</f>
        <v>0.82042932168588</v>
      </c>
      <c r="G275" s="11" t="n">
        <f aca="false">Annual_Data!$D$21*V275</f>
        <v>0.00322570470915</v>
      </c>
      <c r="H275" s="12" t="n">
        <f aca="false">Annual_Data!$E$20+(Annual_Data!$E$21-Annual_Data!$E$20)*D275/12</f>
        <v>24.6068333333333</v>
      </c>
      <c r="I275" s="13" t="n">
        <f aca="false">Annual_Data!$F$21*Y275</f>
        <v>2178.71961129821</v>
      </c>
      <c r="J275" s="13" t="n">
        <f aca="false">Annual_Data!$H$21*W275</f>
        <v>9045.32255411387</v>
      </c>
      <c r="K275" s="13" t="n">
        <f aca="false">Annual_Data!$I$21*X275</f>
        <v>3925.223753437</v>
      </c>
      <c r="L275" s="12" t="n">
        <f aca="false">K275*0.0036</f>
        <v>14.1308055123732</v>
      </c>
      <c r="M275" s="14" t="n">
        <f aca="false">K275/(I275*E275/1000)</f>
        <v>58.1167583116237</v>
      </c>
      <c r="N275" s="10" t="n">
        <f aca="false">LN(F275)</f>
        <v>-0.197927512703581</v>
      </c>
      <c r="O275" s="10" t="n">
        <f aca="false">LN(G275)</f>
        <v>-5.73660383814009</v>
      </c>
      <c r="P275" s="10" t="n">
        <f aca="false">LN(I275)</f>
        <v>7.68649264896792</v>
      </c>
      <c r="Q275" s="10" t="n">
        <f aca="false">LN(J275)</f>
        <v>9.11000305823434</v>
      </c>
      <c r="R275" s="10" t="n">
        <f aca="false">LN(M275)</f>
        <v>4.06245406136582</v>
      </c>
      <c r="S275" s="3" t="n">
        <v>0</v>
      </c>
      <c r="T275" s="3" t="s">
        <v>47</v>
      </c>
      <c r="U275" s="15" t="n">
        <v>0.081716067897</v>
      </c>
      <c r="V275" s="15" t="n">
        <v>0.064514094183</v>
      </c>
      <c r="W275" s="15" t="n">
        <v>0.085471921931</v>
      </c>
      <c r="X275" s="15" t="n">
        <v>0.080106607213</v>
      </c>
      <c r="Y275" s="15" t="n">
        <v>1.019522513476</v>
      </c>
    </row>
    <row r="276" customFormat="false" ht="15" hidden="false" customHeight="true" outlineLevel="0" collapsed="false">
      <c r="A276" s="3" t="s">
        <v>22</v>
      </c>
      <c r="B276" s="9" t="n">
        <v>45962</v>
      </c>
      <c r="C276" s="3" t="n">
        <v>2025</v>
      </c>
      <c r="D276" s="3" t="n">
        <v>11</v>
      </c>
      <c r="E276" s="3" t="n">
        <v>30</v>
      </c>
      <c r="F276" s="10" t="n">
        <f aca="false">Annual_Data!$C$21*U276</f>
        <v>0.827549890265</v>
      </c>
      <c r="G276" s="11" t="n">
        <f aca="false">Annual_Data!$D$21*V276</f>
        <v>0.003018458174</v>
      </c>
      <c r="H276" s="12" t="n">
        <f aca="false">Annual_Data!$E$20+(Annual_Data!$E$21-Annual_Data!$E$20)*D276/12</f>
        <v>24.6034166666667</v>
      </c>
      <c r="I276" s="13" t="n">
        <f aca="false">Annual_Data!$F$21*Y276</f>
        <v>2164.9488626728</v>
      </c>
      <c r="J276" s="13" t="n">
        <f aca="false">Annual_Data!$H$21*W276</f>
        <v>8783.51665924253</v>
      </c>
      <c r="K276" s="13" t="n">
        <f aca="false">Annual_Data!$I$21*X276</f>
        <v>3991.316403641</v>
      </c>
      <c r="L276" s="12" t="n">
        <f aca="false">K276*0.0036</f>
        <v>14.3687390531076</v>
      </c>
      <c r="M276" s="14" t="n">
        <f aca="false">K276/(I276*E276/1000)</f>
        <v>61.4535901587594</v>
      </c>
      <c r="N276" s="10" t="n">
        <f aca="false">LN(F276)</f>
        <v>-0.189285883197856</v>
      </c>
      <c r="O276" s="10" t="n">
        <f aca="false">LN(G276)</f>
        <v>-5.80300911637506</v>
      </c>
      <c r="P276" s="10" t="n">
        <f aca="false">LN(I276)</f>
        <v>7.68015202014507</v>
      </c>
      <c r="Q276" s="10" t="n">
        <f aca="false">LN(J276)</f>
        <v>9.0806321371036</v>
      </c>
      <c r="R276" s="10" t="n">
        <f aca="false">LN(M276)</f>
        <v>4.11828225836986</v>
      </c>
      <c r="S276" s="3" t="n">
        <v>0</v>
      </c>
      <c r="T276" s="3" t="s">
        <v>47</v>
      </c>
      <c r="U276" s="15" t="n">
        <v>0.082425287875</v>
      </c>
      <c r="V276" s="15" t="n">
        <v>0.06036916348</v>
      </c>
      <c r="W276" s="15" t="n">
        <v>0.082998040776</v>
      </c>
      <c r="X276" s="15" t="n">
        <v>0.081455436809</v>
      </c>
      <c r="Y276" s="15" t="n">
        <v>1.013078550619</v>
      </c>
    </row>
    <row r="277" customFormat="false" ht="15" hidden="false" customHeight="true" outlineLevel="0" collapsed="false">
      <c r="A277" s="3" t="s">
        <v>22</v>
      </c>
      <c r="B277" s="9" t="n">
        <v>45992</v>
      </c>
      <c r="C277" s="3" t="n">
        <v>2025</v>
      </c>
      <c r="D277" s="3" t="n">
        <v>12</v>
      </c>
      <c r="E277" s="3" t="n">
        <v>31</v>
      </c>
      <c r="F277" s="10" t="n">
        <f aca="false">Annual_Data!$C$21*U277</f>
        <v>0.85155558998292</v>
      </c>
      <c r="G277" s="11" t="n">
        <f aca="false">Annual_Data!$D$21*V277</f>
        <v>0.00330398357795</v>
      </c>
      <c r="H277" s="12" t="n">
        <f aca="false">Annual_Data!$E$20+(Annual_Data!$E$21-Annual_Data!$E$20)*D277/12</f>
        <v>24.6</v>
      </c>
      <c r="I277" s="13" t="n">
        <f aca="false">Annual_Data!$F$21*Y277</f>
        <v>2148.08472822207</v>
      </c>
      <c r="J277" s="13" t="n">
        <f aca="false">Annual_Data!$H$21*W277</f>
        <v>9024.62523137279</v>
      </c>
      <c r="K277" s="13" t="n">
        <f aca="false">Annual_Data!$I$21*X277</f>
        <v>4103.396945641</v>
      </c>
      <c r="L277" s="12" t="n">
        <f aca="false">K277*0.0036</f>
        <v>14.7722290043076</v>
      </c>
      <c r="M277" s="14" t="n">
        <f aca="false">K277/(I277*E277/1000)</f>
        <v>61.6212394551738</v>
      </c>
      <c r="N277" s="10" t="n">
        <f aca="false">LN(F277)</f>
        <v>-0.160690496238867</v>
      </c>
      <c r="O277" s="10" t="n">
        <f aca="false">LN(G277)</f>
        <v>-5.71262639368987</v>
      </c>
      <c r="P277" s="10" t="n">
        <f aca="false">LN(I277)</f>
        <v>7.67233190001938</v>
      </c>
      <c r="Q277" s="10" t="n">
        <f aca="false">LN(J277)</f>
        <v>9.10771225672921</v>
      </c>
      <c r="R277" s="10" t="n">
        <f aca="false">LN(M277)</f>
        <v>4.1210066074611</v>
      </c>
      <c r="S277" s="3" t="n">
        <v>0</v>
      </c>
      <c r="T277" s="3" t="s">
        <v>47</v>
      </c>
      <c r="U277" s="15" t="n">
        <v>0.084816293823</v>
      </c>
      <c r="V277" s="15" t="n">
        <v>0.066079671559</v>
      </c>
      <c r="W277" s="15" t="n">
        <v>0.085276346821</v>
      </c>
      <c r="X277" s="15" t="n">
        <v>0.083742794809</v>
      </c>
      <c r="Y277" s="15" t="n">
        <v>1.00518705111</v>
      </c>
    </row>
    <row r="278" customFormat="false" ht="15" hidden="false" customHeight="true" outlineLevel="0" collapsed="false">
      <c r="A278" s="16" t="s">
        <v>22</v>
      </c>
      <c r="B278" s="17" t="n">
        <v>46023</v>
      </c>
      <c r="C278" s="16" t="n">
        <v>2026</v>
      </c>
      <c r="D278" s="16" t="n">
        <v>1</v>
      </c>
      <c r="E278" s="16" t="n">
        <v>31</v>
      </c>
      <c r="F278" s="18" t="n">
        <f aca="false">Assumptions_2026!$G$20*U278</f>
        <v>0.840321423865512</v>
      </c>
      <c r="G278" s="19" t="n">
        <f aca="false">Assumptions_2026!$G$21*V278</f>
        <v>0.00326900618404146</v>
      </c>
      <c r="H278" s="20" t="n">
        <f aca="false">Annual_Data!$E$21+(Assumptions_2026!$G$22-Annual_Data!$E$21)*D278/12</f>
        <v>24.6795278245557</v>
      </c>
      <c r="I278" s="21" t="n">
        <f aca="false">Assumptions_2026!$G$23*Y278</f>
        <v>2188.81432679166</v>
      </c>
      <c r="J278" s="21" t="n">
        <f aca="false">Assumptions_2026!$G$24*W278</f>
        <v>9038.01456465601</v>
      </c>
      <c r="K278" s="21" t="n">
        <f aca="false">Assumptions_2026!$G$25*X278</f>
        <v>4069.42625008669</v>
      </c>
      <c r="L278" s="20" t="n">
        <f aca="false">K278*0.0036</f>
        <v>14.6499345003121</v>
      </c>
      <c r="M278" s="22" t="n">
        <f aca="false">K278/(I278*E278/1000)</f>
        <v>59.9739379042455</v>
      </c>
      <c r="N278" s="18" t="n">
        <f aca="false">LN(F278)</f>
        <v>-0.173970812876704</v>
      </c>
      <c r="O278" s="18" t="n">
        <f aca="false">LN(G278)</f>
        <v>-5.72326925951917</v>
      </c>
      <c r="P278" s="18" t="n">
        <f aca="false">LN(I278)</f>
        <v>7.69111527290738</v>
      </c>
      <c r="Q278" s="18" t="n">
        <f aca="false">LN(J278)</f>
        <v>9.10919480146097</v>
      </c>
      <c r="R278" s="18" t="n">
        <f aca="false">LN(M278)</f>
        <v>4.0939100995943</v>
      </c>
      <c r="S278" s="16" t="n">
        <v>0</v>
      </c>
      <c r="T278" s="16" t="s">
        <v>48</v>
      </c>
      <c r="U278" s="23" t="n">
        <v>0.087531434677</v>
      </c>
      <c r="V278" s="23" t="n">
        <v>0.077750508261</v>
      </c>
      <c r="W278" s="23" t="n">
        <v>0.081725399276</v>
      </c>
      <c r="X278" s="23" t="n">
        <v>0.086996360665</v>
      </c>
      <c r="Y278" s="23" t="n">
        <v>0.994413876086</v>
      </c>
    </row>
    <row r="279" customFormat="false" ht="15" hidden="false" customHeight="true" outlineLevel="0" collapsed="false">
      <c r="A279" s="16" t="s">
        <v>22</v>
      </c>
      <c r="B279" s="17" t="n">
        <v>46054</v>
      </c>
      <c r="C279" s="16" t="n">
        <v>2026</v>
      </c>
      <c r="D279" s="16" t="n">
        <v>2</v>
      </c>
      <c r="E279" s="16" t="n">
        <v>28</v>
      </c>
      <c r="F279" s="18" t="n">
        <f aca="false">Assumptions_2026!$G$20*U279</f>
        <v>0.772058281531082</v>
      </c>
      <c r="G279" s="19" t="n">
        <f aca="false">Assumptions_2026!$G$21*V279</f>
        <v>0.0030666984331755</v>
      </c>
      <c r="H279" s="20" t="n">
        <f aca="false">Annual_Data!$E$21+(Assumptions_2026!$G$22-Annual_Data!$E$21)*D279/12</f>
        <v>24.7590556491114</v>
      </c>
      <c r="I279" s="21" t="n">
        <f aca="false">Assumptions_2026!$G$23*Y279</f>
        <v>2219.52533275408</v>
      </c>
      <c r="J279" s="21" t="n">
        <f aca="false">Assumptions_2026!$G$24*W279</f>
        <v>8341.27380590501</v>
      </c>
      <c r="K279" s="21" t="n">
        <f aca="false">Assumptions_2026!$G$25*X279</f>
        <v>3674.60741435114</v>
      </c>
      <c r="L279" s="20" t="n">
        <f aca="false">K279*0.0036</f>
        <v>13.2285866916641</v>
      </c>
      <c r="M279" s="22" t="n">
        <f aca="false">K279/(I279*E279/1000)</f>
        <v>59.1279482812327</v>
      </c>
      <c r="N279" s="18" t="n">
        <f aca="false">LN(F279)</f>
        <v>-0.25869523759566</v>
      </c>
      <c r="O279" s="18" t="n">
        <f aca="false">LN(G279)</f>
        <v>-5.78715372500472</v>
      </c>
      <c r="P279" s="18" t="n">
        <f aca="false">LN(I279)</f>
        <v>7.7050486379301</v>
      </c>
      <c r="Q279" s="18" t="n">
        <f aca="false">LN(J279)</f>
        <v>9.02897121821105</v>
      </c>
      <c r="R279" s="18" t="n">
        <f aca="false">LN(M279)</f>
        <v>4.07970371079056</v>
      </c>
      <c r="S279" s="16" t="n">
        <v>0</v>
      </c>
      <c r="T279" s="16" t="s">
        <v>48</v>
      </c>
      <c r="U279" s="23" t="n">
        <v>0.080420856969</v>
      </c>
      <c r="V279" s="23" t="n">
        <v>0.072938791926</v>
      </c>
      <c r="W279" s="23" t="n">
        <v>0.075425186293</v>
      </c>
      <c r="X279" s="23" t="n">
        <v>0.078555907461</v>
      </c>
      <c r="Y279" s="23" t="n">
        <v>1.008366384576</v>
      </c>
    </row>
    <row r="280" customFormat="false" ht="15" hidden="false" customHeight="true" outlineLevel="0" collapsed="false">
      <c r="A280" s="16" t="s">
        <v>22</v>
      </c>
      <c r="B280" s="17" t="n">
        <v>46082</v>
      </c>
      <c r="C280" s="16" t="n">
        <v>2026</v>
      </c>
      <c r="D280" s="16" t="n">
        <v>3</v>
      </c>
      <c r="E280" s="16" t="n">
        <v>31</v>
      </c>
      <c r="F280" s="18" t="n">
        <f aca="false">Assumptions_2026!$G$20*U280</f>
        <v>0.828808002351467</v>
      </c>
      <c r="G280" s="19" t="n">
        <f aca="false">Assumptions_2026!$G$21*V280</f>
        <v>0.00338228063438789</v>
      </c>
      <c r="H280" s="20" t="n">
        <f aca="false">Annual_Data!$E$21+(Assumptions_2026!$G$22-Annual_Data!$E$21)*D280/12</f>
        <v>24.8385834736671</v>
      </c>
      <c r="I280" s="21" t="n">
        <f aca="false">Assumptions_2026!$G$23*Y280</f>
        <v>2215.54926770219</v>
      </c>
      <c r="J280" s="21" t="n">
        <f aca="false">Assumptions_2026!$G$24*W280</f>
        <v>9432.65608143683</v>
      </c>
      <c r="K280" s="21" t="n">
        <f aca="false">Assumptions_2026!$G$25*X280</f>
        <v>4032.36746738243</v>
      </c>
      <c r="L280" s="20" t="n">
        <f aca="false">K280*0.0036</f>
        <v>14.5165228825768</v>
      </c>
      <c r="M280" s="22" t="n">
        <f aca="false">K280/(I280*E280/1000)</f>
        <v>58.7106645795642</v>
      </c>
      <c r="N280" s="18" t="n">
        <f aca="false">LN(F280)</f>
        <v>-0.187766752176684</v>
      </c>
      <c r="O280" s="18" t="n">
        <f aca="false">LN(G280)</f>
        <v>-5.68920505312279</v>
      </c>
      <c r="P280" s="18" t="n">
        <f aca="false">LN(I280)</f>
        <v>7.70325562812742</v>
      </c>
      <c r="Q280" s="18" t="n">
        <f aca="false">LN(J280)</f>
        <v>9.15193299889868</v>
      </c>
      <c r="R280" s="18" t="n">
        <f aca="false">LN(M280)</f>
        <v>4.07262138971164</v>
      </c>
      <c r="S280" s="16" t="n">
        <v>0</v>
      </c>
      <c r="T280" s="16" t="s">
        <v>48</v>
      </c>
      <c r="U280" s="23" t="n">
        <v>0.086332147982</v>
      </c>
      <c r="V280" s="23" t="n">
        <v>0.080444643907</v>
      </c>
      <c r="W280" s="23" t="n">
        <v>0.085293908189</v>
      </c>
      <c r="X280" s="23" t="n">
        <v>0.086204116494</v>
      </c>
      <c r="Y280" s="23" t="n">
        <v>1.006559993686</v>
      </c>
    </row>
    <row r="281" customFormat="false" ht="15" hidden="false" customHeight="true" outlineLevel="0" collapsed="false">
      <c r="A281" s="16" t="s">
        <v>22</v>
      </c>
      <c r="B281" s="17" t="n">
        <v>46113</v>
      </c>
      <c r="C281" s="16" t="n">
        <v>2026</v>
      </c>
      <c r="D281" s="16" t="n">
        <v>4</v>
      </c>
      <c r="E281" s="16" t="n">
        <v>30</v>
      </c>
      <c r="F281" s="18" t="n">
        <f aca="false">Assumptions_2026!$G$20*U281</f>
        <v>0.786375480886837</v>
      </c>
      <c r="G281" s="19" t="n">
        <f aca="false">Assumptions_2026!$G$21*V281</f>
        <v>0.00323003441283751</v>
      </c>
      <c r="H281" s="20" t="n">
        <f aca="false">Annual_Data!$E$21+(Assumptions_2026!$G$22-Annual_Data!$E$21)*D281/12</f>
        <v>24.9181112982228</v>
      </c>
      <c r="I281" s="21" t="n">
        <f aca="false">Assumptions_2026!$G$23*Y281</f>
        <v>2222.88503240303</v>
      </c>
      <c r="J281" s="21" t="n">
        <f aca="false">Assumptions_2026!$G$24*W281</f>
        <v>8888.16426017085</v>
      </c>
      <c r="K281" s="21" t="n">
        <f aca="false">Assumptions_2026!$G$25*X281</f>
        <v>3814.63544980705</v>
      </c>
      <c r="L281" s="20" t="n">
        <f aca="false">K281*0.0036</f>
        <v>13.7326876193054</v>
      </c>
      <c r="M281" s="22" t="n">
        <f aca="false">K281/(I281*E281/1000)</f>
        <v>57.2024702762558</v>
      </c>
      <c r="N281" s="18" t="n">
        <f aca="false">LN(F281)</f>
        <v>-0.240320889568573</v>
      </c>
      <c r="O281" s="18" t="n">
        <f aca="false">LN(G281)</f>
        <v>-5.73526248767507</v>
      </c>
      <c r="P281" s="18" t="n">
        <f aca="false">LN(I281)</f>
        <v>7.70656119530924</v>
      </c>
      <c r="Q281" s="18" t="n">
        <f aca="false">LN(J281)</f>
        <v>9.09247581226603</v>
      </c>
      <c r="R281" s="18" t="n">
        <f aca="false">LN(M281)</f>
        <v>4.04659708410106</v>
      </c>
      <c r="S281" s="16" t="n">
        <v>0</v>
      </c>
      <c r="T281" s="16" t="s">
        <v>48</v>
      </c>
      <c r="U281" s="23" t="n">
        <v>0.081912197026</v>
      </c>
      <c r="V281" s="23" t="n">
        <v>0.076823598109</v>
      </c>
      <c r="W281" s="23" t="n">
        <v>0.080370391948</v>
      </c>
      <c r="X281" s="23" t="n">
        <v>0.081549432525</v>
      </c>
      <c r="Y281" s="23" t="n">
        <v>1.009892750659</v>
      </c>
    </row>
    <row r="282" customFormat="false" ht="15" hidden="false" customHeight="true" outlineLevel="0" collapsed="false">
      <c r="A282" s="16" t="s">
        <v>22</v>
      </c>
      <c r="B282" s="17" t="n">
        <v>46143</v>
      </c>
      <c r="C282" s="16" t="n">
        <v>2026</v>
      </c>
      <c r="D282" s="16" t="n">
        <v>5</v>
      </c>
      <c r="E282" s="16" t="n">
        <v>31</v>
      </c>
      <c r="F282" s="18" t="n">
        <f aca="false">Assumptions_2026!$G$20*U282</f>
        <v>0.794989395392539</v>
      </c>
      <c r="G282" s="19" t="n">
        <f aca="false">Assumptions_2026!$G$21*V282</f>
        <v>0.0033442744687841</v>
      </c>
      <c r="H282" s="20" t="n">
        <f aca="false">Annual_Data!$E$21+(Assumptions_2026!$G$22-Annual_Data!$E$21)*D282/12</f>
        <v>24.9976391227785</v>
      </c>
      <c r="I282" s="21" t="n">
        <f aca="false">Assumptions_2026!$G$23*Y282</f>
        <v>2233.27953584154</v>
      </c>
      <c r="J282" s="21" t="n">
        <f aca="false">Assumptions_2026!$G$24*W282</f>
        <v>9528.39932634758</v>
      </c>
      <c r="K282" s="21" t="n">
        <f aca="false">Assumptions_2026!$G$25*X282</f>
        <v>3933.16377806638</v>
      </c>
      <c r="L282" s="20" t="n">
        <f aca="false">K282*0.0036</f>
        <v>14.159389601039</v>
      </c>
      <c r="M282" s="22" t="n">
        <f aca="false">K282/(I282*E282/1000)</f>
        <v>56.8116301023453</v>
      </c>
      <c r="N282" s="18" t="n">
        <f aca="false">LN(F282)</f>
        <v>-0.229426503545654</v>
      </c>
      <c r="O282" s="18" t="n">
        <f aca="false">LN(G282)</f>
        <v>-5.70050550914222</v>
      </c>
      <c r="P282" s="18" t="n">
        <f aca="false">LN(I282)</f>
        <v>7.71122642799166</v>
      </c>
      <c r="Q282" s="18" t="n">
        <f aca="false">LN(J282)</f>
        <v>9.16203202098263</v>
      </c>
      <c r="R282" s="18" t="n">
        <f aca="false">LN(M282)</f>
        <v>4.03974106009058</v>
      </c>
      <c r="S282" s="16" t="n">
        <v>0</v>
      </c>
      <c r="T282" s="16" t="s">
        <v>48</v>
      </c>
      <c r="U282" s="23" t="n">
        <v>0.082809458804</v>
      </c>
      <c r="V282" s="23" t="n">
        <v>0.079540699856</v>
      </c>
      <c r="W282" s="23" t="n">
        <v>0.086159657504</v>
      </c>
      <c r="X282" s="23" t="n">
        <v>0.08408333597</v>
      </c>
      <c r="Y282" s="23" t="n">
        <v>1.014615142288</v>
      </c>
    </row>
    <row r="283" customFormat="false" ht="15" hidden="false" customHeight="true" outlineLevel="0" collapsed="false">
      <c r="A283" s="16" t="s">
        <v>22</v>
      </c>
      <c r="B283" s="17" t="n">
        <v>46174</v>
      </c>
      <c r="C283" s="16" t="n">
        <v>2026</v>
      </c>
      <c r="D283" s="16" t="n">
        <v>6</v>
      </c>
      <c r="E283" s="16" t="n">
        <v>30</v>
      </c>
      <c r="F283" s="18" t="n">
        <f aca="false">Assumptions_2026!$G$20*U283</f>
        <v>0.776614924936458</v>
      </c>
      <c r="G283" s="19" t="n">
        <f aca="false">Assumptions_2026!$G$21*V283</f>
        <v>0.00337366489485797</v>
      </c>
      <c r="H283" s="20" t="n">
        <f aca="false">Annual_Data!$E$21+(Assumptions_2026!$G$22-Annual_Data!$E$21)*D283/12</f>
        <v>25.0771669473342</v>
      </c>
      <c r="I283" s="21" t="n">
        <f aca="false">Assumptions_2026!$G$23*Y283</f>
        <v>2162.01387835146</v>
      </c>
      <c r="J283" s="21" t="n">
        <f aca="false">Assumptions_2026!$G$24*W283</f>
        <v>8960.18388634998</v>
      </c>
      <c r="K283" s="21" t="n">
        <f aca="false">Assumptions_2026!$G$25*X283</f>
        <v>3761.0466544951</v>
      </c>
      <c r="L283" s="20" t="n">
        <f aca="false">K283*0.0036</f>
        <v>13.5397679561823</v>
      </c>
      <c r="M283" s="22" t="n">
        <f aca="false">K283/(I283*E283/1000)</f>
        <v>57.9867793966691</v>
      </c>
      <c r="N283" s="18" t="n">
        <f aca="false">LN(F283)</f>
        <v>-0.252810643563216</v>
      </c>
      <c r="O283" s="18" t="n">
        <f aca="false">LN(G283)</f>
        <v>-5.69175561963146</v>
      </c>
      <c r="P283" s="18" t="n">
        <f aca="false">LN(I283)</f>
        <v>7.67879541739754</v>
      </c>
      <c r="Q283" s="18" t="n">
        <f aca="false">LN(J283)</f>
        <v>9.10054602878851</v>
      </c>
      <c r="R283" s="18" t="n">
        <f aca="false">LN(M283)</f>
        <v>4.06021504312708</v>
      </c>
      <c r="S283" s="16" t="n">
        <v>0</v>
      </c>
      <c r="T283" s="16" t="s">
        <v>48</v>
      </c>
      <c r="U283" s="23" t="n">
        <v>0.080895496224</v>
      </c>
      <c r="V283" s="23" t="n">
        <v>0.080239725932</v>
      </c>
      <c r="W283" s="23" t="n">
        <v>0.081021622665</v>
      </c>
      <c r="X283" s="23" t="n">
        <v>0.080403809069</v>
      </c>
      <c r="Y283" s="23" t="n">
        <v>0.982237997352</v>
      </c>
    </row>
    <row r="284" customFormat="false" ht="15" hidden="false" customHeight="true" outlineLevel="0" collapsed="false">
      <c r="A284" s="16" t="s">
        <v>22</v>
      </c>
      <c r="B284" s="17" t="n">
        <v>46204</v>
      </c>
      <c r="C284" s="16" t="n">
        <v>2026</v>
      </c>
      <c r="D284" s="16" t="n">
        <v>7</v>
      </c>
      <c r="E284" s="16" t="n">
        <v>31</v>
      </c>
      <c r="F284" s="18" t="n">
        <f aca="false">Assumptions_2026!$G$20*U284</f>
        <v>0.819374213860164</v>
      </c>
      <c r="G284" s="19" t="n">
        <f aca="false">Assumptions_2026!$G$21*V284</f>
        <v>0.00392369147744237</v>
      </c>
      <c r="H284" s="20" t="n">
        <f aca="false">Annual_Data!$E$21+(Assumptions_2026!$G$22-Annual_Data!$E$21)*D284/12</f>
        <v>25.1566947718899</v>
      </c>
      <c r="I284" s="21" t="n">
        <f aca="false">Assumptions_2026!$G$23*Y284</f>
        <v>2168.95535317306</v>
      </c>
      <c r="J284" s="21" t="n">
        <f aca="false">Assumptions_2026!$G$24*W284</f>
        <v>8961.26525448839</v>
      </c>
      <c r="K284" s="21" t="n">
        <f aca="false">Assumptions_2026!$G$25*X284</f>
        <v>3974.88607365458</v>
      </c>
      <c r="L284" s="20" t="n">
        <f aca="false">K284*0.0036</f>
        <v>14.3095898651565</v>
      </c>
      <c r="M284" s="22" t="n">
        <f aca="false">K284/(I284*E284/1000)</f>
        <v>59.1169989832343</v>
      </c>
      <c r="N284" s="18" t="n">
        <f aca="false">LN(F284)</f>
        <v>-0.199214383903029</v>
      </c>
      <c r="O284" s="18" t="n">
        <f aca="false">LN(G284)</f>
        <v>-5.54072236487509</v>
      </c>
      <c r="P284" s="18" t="n">
        <f aca="false">LN(I284)</f>
        <v>7.68200092655465</v>
      </c>
      <c r="Q284" s="18" t="n">
        <f aca="false">LN(J284)</f>
        <v>9.10066670743802</v>
      </c>
      <c r="R284" s="18" t="n">
        <f aca="false">LN(M284)</f>
        <v>4.07951851390422</v>
      </c>
      <c r="S284" s="16" t="n">
        <v>0</v>
      </c>
      <c r="T284" s="16" t="s">
        <v>48</v>
      </c>
      <c r="U284" s="23" t="n">
        <v>0.085349484661</v>
      </c>
      <c r="V284" s="23" t="n">
        <v>0.093321636441</v>
      </c>
      <c r="W284" s="23" t="n">
        <v>0.081031400835</v>
      </c>
      <c r="X284" s="23" t="n">
        <v>0.08497527691</v>
      </c>
      <c r="Y284" s="23" t="n">
        <v>0.985391622033</v>
      </c>
    </row>
    <row r="285" customFormat="false" ht="15" hidden="false" customHeight="true" outlineLevel="0" collapsed="false">
      <c r="A285" s="16" t="s">
        <v>22</v>
      </c>
      <c r="B285" s="17" t="n">
        <v>46235</v>
      </c>
      <c r="C285" s="16" t="n">
        <v>2026</v>
      </c>
      <c r="D285" s="16" t="n">
        <v>8</v>
      </c>
      <c r="E285" s="16" t="n">
        <v>31</v>
      </c>
      <c r="F285" s="18" t="n">
        <f aca="false">Assumptions_2026!$G$20*U285</f>
        <v>0.810198768187823</v>
      </c>
      <c r="G285" s="19" t="n">
        <f aca="false">Assumptions_2026!$G$21*V285</f>
        <v>0.00380941281009712</v>
      </c>
      <c r="H285" s="20" t="n">
        <f aca="false">Annual_Data!$E$21+(Assumptions_2026!$G$22-Annual_Data!$E$21)*D285/12</f>
        <v>25.2362225964456</v>
      </c>
      <c r="I285" s="21" t="n">
        <f aca="false">Assumptions_2026!$G$23*Y285</f>
        <v>2200.41146003577</v>
      </c>
      <c r="J285" s="21" t="n">
        <f aca="false">Assumptions_2026!$G$24*W285</f>
        <v>9589.45798324548</v>
      </c>
      <c r="K285" s="21" t="n">
        <f aca="false">Assumptions_2026!$G$25*X285</f>
        <v>3974.44124117153</v>
      </c>
      <c r="L285" s="20" t="n">
        <f aca="false">K285*0.0036</f>
        <v>14.3079884682175</v>
      </c>
      <c r="M285" s="22" t="n">
        <f aca="false">K285/(I285*E285/1000)</f>
        <v>58.2653673196153</v>
      </c>
      <c r="N285" s="18" t="n">
        <f aca="false">LN(F285)</f>
        <v>-0.210475668595074</v>
      </c>
      <c r="O285" s="18" t="n">
        <f aca="false">LN(G285)</f>
        <v>-5.57028021980569</v>
      </c>
      <c r="P285" s="18" t="n">
        <f aca="false">LN(I285)</f>
        <v>7.69639964914797</v>
      </c>
      <c r="Q285" s="18" t="n">
        <f aca="false">LN(J285)</f>
        <v>9.16841964732772</v>
      </c>
      <c r="R285" s="18" t="n">
        <f aca="false">LN(M285)</f>
        <v>4.06500787429807</v>
      </c>
      <c r="S285" s="16" t="n">
        <v>0</v>
      </c>
      <c r="T285" s="16" t="s">
        <v>48</v>
      </c>
      <c r="U285" s="23" t="n">
        <v>0.084393731421</v>
      </c>
      <c r="V285" s="23" t="n">
        <v>0.090603616355</v>
      </c>
      <c r="W285" s="23" t="n">
        <v>0.086711774684</v>
      </c>
      <c r="X285" s="23" t="n">
        <v>0.084965767263</v>
      </c>
      <c r="Y285" s="23" t="n">
        <v>0.999682641956</v>
      </c>
    </row>
    <row r="286" customFormat="false" ht="15" hidden="false" customHeight="true" outlineLevel="0" collapsed="false">
      <c r="A286" s="16" t="s">
        <v>22</v>
      </c>
      <c r="B286" s="17" t="n">
        <v>46266</v>
      </c>
      <c r="C286" s="16" t="n">
        <v>2026</v>
      </c>
      <c r="D286" s="16" t="n">
        <v>9</v>
      </c>
      <c r="E286" s="16" t="n">
        <v>30</v>
      </c>
      <c r="F286" s="18" t="n">
        <f aca="false">Assumptions_2026!$G$20*U286</f>
        <v>0.769469882335613</v>
      </c>
      <c r="G286" s="19" t="n">
        <f aca="false">Assumptions_2026!$G$21*V286</f>
        <v>0.00347766827146887</v>
      </c>
      <c r="H286" s="20" t="n">
        <f aca="false">Annual_Data!$E$21+(Assumptions_2026!$G$22-Annual_Data!$E$21)*D286/12</f>
        <v>25.3157504210013</v>
      </c>
      <c r="I286" s="21" t="n">
        <f aca="false">Assumptions_2026!$G$23*Y286</f>
        <v>2195.05705351646</v>
      </c>
      <c r="J286" s="21" t="n">
        <f aca="false">Assumptions_2026!$G$24*W286</f>
        <v>9301.05228785403</v>
      </c>
      <c r="K286" s="21" t="n">
        <f aca="false">Assumptions_2026!$G$25*X286</f>
        <v>3755.21352798006</v>
      </c>
      <c r="L286" s="20" t="n">
        <f aca="false">K286*0.0036</f>
        <v>13.5187687007282</v>
      </c>
      <c r="M286" s="22" t="n">
        <f aca="false">K286/(I286*E286/1000)</f>
        <v>57.0252987572576</v>
      </c>
      <c r="N286" s="18" t="n">
        <f aca="false">LN(F286)</f>
        <v>-0.262053465734125</v>
      </c>
      <c r="O286" s="18" t="n">
        <f aca="false">LN(G286)</f>
        <v>-5.66139324670505</v>
      </c>
      <c r="P286" s="18" t="n">
        <f aca="false">LN(I286)</f>
        <v>7.69396331766189</v>
      </c>
      <c r="Q286" s="18" t="n">
        <f aca="false">LN(J286)</f>
        <v>9.13788282197207</v>
      </c>
      <c r="R286" s="18" t="n">
        <f aca="false">LN(M286)</f>
        <v>4.04349500721429</v>
      </c>
      <c r="S286" s="16" t="n">
        <v>0</v>
      </c>
      <c r="T286" s="16" t="s">
        <v>48</v>
      </c>
      <c r="U286" s="23" t="n">
        <v>0.080151238358</v>
      </c>
      <c r="V286" s="23" t="n">
        <v>0.082713357041</v>
      </c>
      <c r="W286" s="23" t="n">
        <v>0.084103893225</v>
      </c>
      <c r="X286" s="23" t="n">
        <v>0.080279108252</v>
      </c>
      <c r="Y286" s="23" t="n">
        <v>0.997250048165</v>
      </c>
    </row>
    <row r="287" customFormat="false" ht="15" hidden="false" customHeight="true" outlineLevel="0" collapsed="false">
      <c r="A287" s="16" t="s">
        <v>22</v>
      </c>
      <c r="B287" s="17" t="n">
        <v>46296</v>
      </c>
      <c r="C287" s="16" t="n">
        <v>2026</v>
      </c>
      <c r="D287" s="16" t="n">
        <v>10</v>
      </c>
      <c r="E287" s="16" t="n">
        <v>31</v>
      </c>
      <c r="F287" s="18" t="n">
        <f aca="false">Assumptions_2026!$G$20*U287</f>
        <v>0.783656111847831</v>
      </c>
      <c r="G287" s="19" t="n">
        <f aca="false">Assumptions_2026!$G$21*V287</f>
        <v>0.00359233233841712</v>
      </c>
      <c r="H287" s="20" t="n">
        <f aca="false">Annual_Data!$E$21+(Assumptions_2026!$G$22-Annual_Data!$E$21)*D287/12</f>
        <v>25.3952782455571</v>
      </c>
      <c r="I287" s="21" t="n">
        <f aca="false">Assumptions_2026!$G$23*Y287</f>
        <v>2204.70959551328</v>
      </c>
      <c r="J287" s="21" t="n">
        <f aca="false">Assumptions_2026!$G$24*W287</f>
        <v>9852.72209939093</v>
      </c>
      <c r="K287" s="21" t="n">
        <f aca="false">Assumptions_2026!$G$25*X287</f>
        <v>3834.29300363459</v>
      </c>
      <c r="L287" s="20" t="n">
        <f aca="false">K287*0.0036</f>
        <v>13.8034548130845</v>
      </c>
      <c r="M287" s="22" t="n">
        <f aca="false">K287/(I287*E287/1000)</f>
        <v>56.1012077675433</v>
      </c>
      <c r="N287" s="18" t="n">
        <f aca="false">LN(F287)</f>
        <v>-0.243784987706411</v>
      </c>
      <c r="O287" s="18" t="n">
        <f aca="false">LN(G287)</f>
        <v>-5.62895361099102</v>
      </c>
      <c r="P287" s="18" t="n">
        <f aca="false">LN(I287)</f>
        <v>7.69835107649232</v>
      </c>
      <c r="Q287" s="18" t="n">
        <f aca="false">LN(J287)</f>
        <v>9.19550305125517</v>
      </c>
      <c r="R287" s="18" t="n">
        <f aca="false">LN(M287)</f>
        <v>4.02715734113012</v>
      </c>
      <c r="S287" s="16" t="n">
        <v>0</v>
      </c>
      <c r="T287" s="16" t="s">
        <v>48</v>
      </c>
      <c r="U287" s="23" t="n">
        <v>0.081628936042</v>
      </c>
      <c r="V287" s="23" t="n">
        <v>0.085440543526</v>
      </c>
      <c r="W287" s="23" t="n">
        <v>0.08909231577</v>
      </c>
      <c r="X287" s="23" t="n">
        <v>0.081969672514</v>
      </c>
      <c r="Y287" s="23" t="n">
        <v>1.001635354668</v>
      </c>
    </row>
    <row r="288" customFormat="false" ht="15" hidden="false" customHeight="true" outlineLevel="0" collapsed="false">
      <c r="A288" s="16" t="s">
        <v>22</v>
      </c>
      <c r="B288" s="17" t="n">
        <v>46327</v>
      </c>
      <c r="C288" s="16" t="n">
        <v>2026</v>
      </c>
      <c r="D288" s="16" t="n">
        <v>11</v>
      </c>
      <c r="E288" s="16" t="n">
        <v>30</v>
      </c>
      <c r="F288" s="18" t="n">
        <f aca="false">Assumptions_2026!$G$20*U288</f>
        <v>0.791412277101415</v>
      </c>
      <c r="G288" s="19" t="n">
        <f aca="false">Assumptions_2026!$G$21*V288</f>
        <v>0.00365239786358835</v>
      </c>
      <c r="H288" s="20" t="n">
        <f aca="false">Annual_Data!$E$21+(Assumptions_2026!$G$22-Annual_Data!$E$21)*D288/12</f>
        <v>25.4748060701128</v>
      </c>
      <c r="I288" s="21" t="n">
        <f aca="false">Assumptions_2026!$G$23*Y288</f>
        <v>2219.00012909959</v>
      </c>
      <c r="J288" s="21" t="n">
        <f aca="false">Assumptions_2026!$G$24*W288</f>
        <v>9241.09839751245</v>
      </c>
      <c r="K288" s="21" t="n">
        <f aca="false">Assumptions_2026!$G$25*X288</f>
        <v>3876.63313319946</v>
      </c>
      <c r="L288" s="20" t="n">
        <f aca="false">K288*0.0036</f>
        <v>13.9558792795181</v>
      </c>
      <c r="M288" s="22" t="n">
        <f aca="false">K288/(I288*E288/1000)</f>
        <v>58.2339328174876</v>
      </c>
      <c r="N288" s="18" t="n">
        <f aca="false">LN(F288)</f>
        <v>-0.233936237008084</v>
      </c>
      <c r="O288" s="18" t="n">
        <f aca="false">LN(G288)</f>
        <v>-5.61237137815591</v>
      </c>
      <c r="P288" s="18" t="n">
        <f aca="false">LN(I288)</f>
        <v>7.70481198111177</v>
      </c>
      <c r="Q288" s="18" t="n">
        <f aca="false">LN(J288)</f>
        <v>9.13141603176041</v>
      </c>
      <c r="R288" s="18" t="n">
        <f aca="false">LN(M288)</f>
        <v>4.06446822293788</v>
      </c>
      <c r="S288" s="16" t="n">
        <v>0</v>
      </c>
      <c r="T288" s="16" t="s">
        <v>48</v>
      </c>
      <c r="U288" s="23" t="n">
        <v>0.082436851029</v>
      </c>
      <c r="V288" s="23" t="n">
        <v>0.086869150524</v>
      </c>
      <c r="W288" s="23" t="n">
        <v>0.083561765793</v>
      </c>
      <c r="X288" s="23" t="n">
        <v>0.082874821534</v>
      </c>
      <c r="Y288" s="23" t="n">
        <v>1.008127776031</v>
      </c>
    </row>
    <row r="289" customFormat="false" ht="15" hidden="false" customHeight="true" outlineLevel="0" collapsed="false">
      <c r="A289" s="16" t="s">
        <v>22</v>
      </c>
      <c r="B289" s="17" t="n">
        <v>46357</v>
      </c>
      <c r="C289" s="16" t="n">
        <v>2026</v>
      </c>
      <c r="D289" s="16" t="n">
        <v>12</v>
      </c>
      <c r="E289" s="16" t="n">
        <v>31</v>
      </c>
      <c r="F289" s="18" t="n">
        <f aca="false">Assumptions_2026!$G$20*U289</f>
        <v>0.826945739522341</v>
      </c>
      <c r="G289" s="19" t="n">
        <f aca="false">Assumptions_2026!$G$21*V289</f>
        <v>0.00392335897358748</v>
      </c>
      <c r="H289" s="20" t="n">
        <f aca="false">Annual_Data!$E$21+(Assumptions_2026!$G$22-Annual_Data!$E$21)*D289/12</f>
        <v>25.5543338946685</v>
      </c>
      <c r="I289" s="21" t="n">
        <f aca="false">Assumptions_2026!$G$23*Y289</f>
        <v>2184.72426357852</v>
      </c>
      <c r="J289" s="21" t="n">
        <f aca="false">Assumptions_2026!$G$24*W289</f>
        <v>9455.7445851505</v>
      </c>
      <c r="K289" s="21" t="n">
        <f aca="false">Assumptions_2026!$G$25*X289</f>
        <v>4076.25712289365</v>
      </c>
      <c r="L289" s="20" t="n">
        <f aca="false">K289*0.0036</f>
        <v>14.6745256424172</v>
      </c>
      <c r="M289" s="22" t="n">
        <f aca="false">K289/(I289*E289/1000)</f>
        <v>60.1870759833341</v>
      </c>
      <c r="N289" s="18" t="n">
        <f aca="false">LN(F289)</f>
        <v>-0.190016197329408</v>
      </c>
      <c r="O289" s="18" t="n">
        <f aca="false">LN(G289)</f>
        <v>-5.54080711107551</v>
      </c>
      <c r="P289" s="18" t="n">
        <f aca="false">LN(I289)</f>
        <v>7.68924490440784</v>
      </c>
      <c r="Q289" s="18" t="n">
        <f aca="false">LN(J289)</f>
        <v>9.15437772840444</v>
      </c>
      <c r="R289" s="18" t="n">
        <f aca="false">LN(M289)</f>
        <v>4.0974576446045</v>
      </c>
      <c r="S289" s="16" t="n">
        <v>0</v>
      </c>
      <c r="T289" s="16" t="s">
        <v>48</v>
      </c>
      <c r="U289" s="23" t="n">
        <v>0.086138166807</v>
      </c>
      <c r="V289" s="23" t="n">
        <v>0.093313728122</v>
      </c>
      <c r="W289" s="23" t="n">
        <v>0.085502683819</v>
      </c>
      <c r="X289" s="23" t="n">
        <v>0.087142391343</v>
      </c>
      <c r="Y289" s="23" t="n">
        <v>0.992555693981</v>
      </c>
    </row>
    <row r="290" customFormat="false" ht="15" hidden="false" customHeight="true" outlineLevel="0" collapsed="false">
      <c r="A290" s="3" t="s">
        <v>25</v>
      </c>
      <c r="B290" s="9" t="n">
        <v>44197</v>
      </c>
      <c r="C290" s="3" t="n">
        <v>2021</v>
      </c>
      <c r="D290" s="3" t="n">
        <v>1</v>
      </c>
      <c r="E290" s="3" t="n">
        <v>31</v>
      </c>
      <c r="F290" s="10" t="n">
        <f aca="false">Annual_Data!$C$22*U290</f>
        <v>8.435412848478</v>
      </c>
      <c r="G290" s="11" t="n">
        <f aca="false">Annual_Data!$D$22*V290</f>
        <v>0.637808687411</v>
      </c>
      <c r="H290" s="12" t="n">
        <f aca="false">(2*Annual_Data!$E$22-Annual_Data!$E$23)+(Annual_Data!$E$22-(2*Annual_Data!$E$22-Annual_Data!$E$23))*D290/12</f>
        <v>62</v>
      </c>
      <c r="I290" s="13" t="n">
        <f aca="false">Annual_Data!$F$22*Y290</f>
        <v>3653.39018978547</v>
      </c>
      <c r="J290" s="13" t="n">
        <f aca="false">Annual_Data!$H$22*W290</f>
        <v>20660.168461168</v>
      </c>
      <c r="K290" s="13" t="n">
        <f aca="false">Annual_Data!$I$22*X290</f>
        <v>35462.9128686409</v>
      </c>
      <c r="L290" s="12" t="n">
        <f aca="false">K290*0.0036</f>
        <v>127.666486327107</v>
      </c>
      <c r="M290" s="14" t="n">
        <f aca="false">K290/(I290*E290/1000)</f>
        <v>313.124213899982</v>
      </c>
      <c r="N290" s="10" t="n">
        <f aca="false">LN(F290)</f>
        <v>2.1324386594923</v>
      </c>
      <c r="O290" s="10" t="n">
        <f aca="false">LN(G290)</f>
        <v>-0.449716903597407</v>
      </c>
      <c r="P290" s="10" t="n">
        <f aca="false">LN(I290)</f>
        <v>8.20341083461028</v>
      </c>
      <c r="Q290" s="10" t="n">
        <f aca="false">LN(J290)</f>
        <v>9.93596289661754</v>
      </c>
      <c r="R290" s="10" t="n">
        <f aca="false">LN(M290)</f>
        <v>5.74659996133692</v>
      </c>
      <c r="S290" s="3" t="n">
        <v>0</v>
      </c>
      <c r="T290" s="3" t="s">
        <v>47</v>
      </c>
      <c r="U290" s="15" t="n">
        <v>0.086075641311</v>
      </c>
      <c r="V290" s="15" t="n">
        <v>0.091115526773</v>
      </c>
      <c r="W290" s="15" t="n">
        <v>0.074668470578</v>
      </c>
      <c r="X290" s="15" t="n">
        <v>0.085110922796</v>
      </c>
      <c r="Y290" s="15" t="n">
        <v>0.984210719231</v>
      </c>
    </row>
    <row r="291" customFormat="false" ht="15" hidden="false" customHeight="true" outlineLevel="0" collapsed="false">
      <c r="A291" s="3" t="s">
        <v>25</v>
      </c>
      <c r="B291" s="9" t="n">
        <v>44228</v>
      </c>
      <c r="C291" s="3" t="n">
        <v>2021</v>
      </c>
      <c r="D291" s="3" t="n">
        <v>2</v>
      </c>
      <c r="E291" s="3" t="n">
        <v>28</v>
      </c>
      <c r="F291" s="10" t="n">
        <f aca="false">Annual_Data!$C$22*U291</f>
        <v>7.710892103236</v>
      </c>
      <c r="G291" s="11" t="n">
        <f aca="false">Annual_Data!$D$22*V291</f>
        <v>0.53256281855</v>
      </c>
      <c r="H291" s="12" t="n">
        <f aca="false">(2*Annual_Data!$E$22-Annual_Data!$E$23)+(Annual_Data!$E$22-(2*Annual_Data!$E$22-Annual_Data!$E$23))*D291/12</f>
        <v>62</v>
      </c>
      <c r="I291" s="13" t="n">
        <f aca="false">Annual_Data!$F$22*Y291</f>
        <v>3759.02314839194</v>
      </c>
      <c r="J291" s="13" t="n">
        <f aca="false">Annual_Data!$H$22*W291</f>
        <v>18462.1164349078</v>
      </c>
      <c r="K291" s="13" t="n">
        <f aca="false">Annual_Data!$I$22*X291</f>
        <v>32740.9555385768</v>
      </c>
      <c r="L291" s="12" t="n">
        <f aca="false">K291*0.0036</f>
        <v>117.867439938877</v>
      </c>
      <c r="M291" s="14" t="n">
        <f aca="false">K291/(I291*E291/1000)</f>
        <v>311.070135645129</v>
      </c>
      <c r="N291" s="10" t="n">
        <f aca="false">LN(F291)</f>
        <v>2.04263388817557</v>
      </c>
      <c r="O291" s="10" t="n">
        <f aca="false">LN(G291)</f>
        <v>-0.630054419248384</v>
      </c>
      <c r="P291" s="10" t="n">
        <f aca="false">LN(I291)</f>
        <v>8.23191440167023</v>
      </c>
      <c r="Q291" s="10" t="n">
        <f aca="false">LN(J291)</f>
        <v>9.82347615126338</v>
      </c>
      <c r="R291" s="10" t="n">
        <f aca="false">LN(M291)</f>
        <v>5.74001840329802</v>
      </c>
      <c r="S291" s="3" t="n">
        <v>0</v>
      </c>
      <c r="T291" s="3" t="s">
        <v>47</v>
      </c>
      <c r="U291" s="15" t="n">
        <v>0.078682572482</v>
      </c>
      <c r="V291" s="15" t="n">
        <v>0.07608040265</v>
      </c>
      <c r="W291" s="15" t="n">
        <v>0.066724431624</v>
      </c>
      <c r="X291" s="15" t="n">
        <v>0.07857823043</v>
      </c>
      <c r="Y291" s="15" t="n">
        <v>1.012667874028</v>
      </c>
    </row>
    <row r="292" customFormat="false" ht="15" hidden="false" customHeight="true" outlineLevel="0" collapsed="false">
      <c r="A292" s="3" t="s">
        <v>25</v>
      </c>
      <c r="B292" s="9" t="n">
        <v>44256</v>
      </c>
      <c r="C292" s="3" t="n">
        <v>2021</v>
      </c>
      <c r="D292" s="3" t="n">
        <v>3</v>
      </c>
      <c r="E292" s="3" t="n">
        <v>31</v>
      </c>
      <c r="F292" s="10" t="n">
        <f aca="false">Annual_Data!$C$22*U292</f>
        <v>8.39718739909</v>
      </c>
      <c r="G292" s="11" t="n">
        <f aca="false">Annual_Data!$D$22*V292</f>
        <v>0.580179552827</v>
      </c>
      <c r="H292" s="12" t="n">
        <f aca="false">(2*Annual_Data!$E$22-Annual_Data!$E$23)+(Annual_Data!$E$22-(2*Annual_Data!$E$22-Annual_Data!$E$23))*D292/12</f>
        <v>62</v>
      </c>
      <c r="I292" s="13" t="n">
        <f aca="false">Annual_Data!$F$22*Y292</f>
        <v>3672.91132214349</v>
      </c>
      <c r="J292" s="13" t="n">
        <f aca="false">Annual_Data!$H$22*W292</f>
        <v>20435.1883238699</v>
      </c>
      <c r="K292" s="13" t="n">
        <f aca="false">Annual_Data!$I$22*X292</f>
        <v>35601.8135347614</v>
      </c>
      <c r="L292" s="12" t="n">
        <f aca="false">K292*0.0036</f>
        <v>128.166528725141</v>
      </c>
      <c r="M292" s="14" t="n">
        <f aca="false">K292/(I292*E292/1000)</f>
        <v>312.679914424207</v>
      </c>
      <c r="N292" s="10" t="n">
        <f aca="false">LN(F292)</f>
        <v>2.12789681633837</v>
      </c>
      <c r="O292" s="10" t="n">
        <f aca="false">LN(G292)</f>
        <v>-0.544417649510111</v>
      </c>
      <c r="P292" s="10" t="n">
        <f aca="false">LN(I292)</f>
        <v>8.20873990236009</v>
      </c>
      <c r="Q292" s="10" t="n">
        <f aca="false">LN(J292)</f>
        <v>9.92501361170683</v>
      </c>
      <c r="R292" s="10" t="n">
        <f aca="false">LN(M292)</f>
        <v>5.7451800296672</v>
      </c>
      <c r="S292" s="3" t="n">
        <v>0</v>
      </c>
      <c r="T292" s="3" t="s">
        <v>47</v>
      </c>
      <c r="U292" s="15" t="n">
        <v>0.085685585705</v>
      </c>
      <c r="V292" s="15" t="n">
        <v>0.082882793261</v>
      </c>
      <c r="W292" s="15" t="n">
        <v>0.073855363812</v>
      </c>
      <c r="X292" s="15" t="n">
        <v>0.085444284128</v>
      </c>
      <c r="Y292" s="15" t="n">
        <v>0.989469644974</v>
      </c>
    </row>
    <row r="293" customFormat="false" ht="15" hidden="false" customHeight="true" outlineLevel="0" collapsed="false">
      <c r="A293" s="3" t="s">
        <v>25</v>
      </c>
      <c r="B293" s="9" t="n">
        <v>44287</v>
      </c>
      <c r="C293" s="3" t="n">
        <v>2021</v>
      </c>
      <c r="D293" s="3" t="n">
        <v>4</v>
      </c>
      <c r="E293" s="3" t="n">
        <v>30</v>
      </c>
      <c r="F293" s="10" t="n">
        <f aca="false">Annual_Data!$C$22*U293</f>
        <v>7.961609818078</v>
      </c>
      <c r="G293" s="11" t="n">
        <f aca="false">Annual_Data!$D$22*V293</f>
        <v>0.548076483514</v>
      </c>
      <c r="H293" s="12" t="n">
        <f aca="false">(2*Annual_Data!$E$22-Annual_Data!$E$23)+(Annual_Data!$E$22-(2*Annual_Data!$E$22-Annual_Data!$E$23))*D293/12</f>
        <v>62</v>
      </c>
      <c r="I293" s="13" t="n">
        <f aca="false">Annual_Data!$F$22*Y293</f>
        <v>3700.53823647245</v>
      </c>
      <c r="J293" s="13" t="n">
        <f aca="false">Annual_Data!$H$22*W293</f>
        <v>20677.600257493</v>
      </c>
      <c r="K293" s="13" t="n">
        <f aca="false">Annual_Data!$I$22*X293</f>
        <v>33840.4856532002</v>
      </c>
      <c r="L293" s="12" t="n">
        <f aca="false">K293*0.0036</f>
        <v>121.825748351521</v>
      </c>
      <c r="M293" s="14" t="n">
        <f aca="false">K293/(I293*E293/1000)</f>
        <v>304.824897449321</v>
      </c>
      <c r="N293" s="10" t="n">
        <f aca="false">LN(F293)</f>
        <v>2.07463121786086</v>
      </c>
      <c r="O293" s="10" t="n">
        <f aca="false">LN(G293)</f>
        <v>-0.601340433316688</v>
      </c>
      <c r="P293" s="10" t="n">
        <f aca="false">LN(I293)</f>
        <v>8.21623355736956</v>
      </c>
      <c r="Q293" s="10" t="n">
        <f aca="false">LN(J293)</f>
        <v>9.9368062801817</v>
      </c>
      <c r="R293" s="10" t="n">
        <f aca="false">LN(M293)</f>
        <v>5.71973750502151</v>
      </c>
      <c r="S293" s="3" t="n">
        <v>0</v>
      </c>
      <c r="T293" s="3" t="s">
        <v>47</v>
      </c>
      <c r="U293" s="15" t="n">
        <v>0.081240916511</v>
      </c>
      <c r="V293" s="15" t="n">
        <v>0.078296640502</v>
      </c>
      <c r="W293" s="15" t="n">
        <v>0.074731471302</v>
      </c>
      <c r="X293" s="15" t="n">
        <v>0.081217100594</v>
      </c>
      <c r="Y293" s="15" t="n">
        <v>0.996912240429</v>
      </c>
    </row>
    <row r="294" customFormat="false" ht="15" hidden="false" customHeight="true" outlineLevel="0" collapsed="false">
      <c r="A294" s="3" t="s">
        <v>25</v>
      </c>
      <c r="B294" s="9" t="n">
        <v>44317</v>
      </c>
      <c r="C294" s="3" t="n">
        <v>2021</v>
      </c>
      <c r="D294" s="3" t="n">
        <v>5</v>
      </c>
      <c r="E294" s="3" t="n">
        <v>31</v>
      </c>
      <c r="F294" s="10" t="n">
        <f aca="false">Annual_Data!$C$22*U294</f>
        <v>8.065952813688</v>
      </c>
      <c r="G294" s="11" t="n">
        <f aca="false">Annual_Data!$D$22*V294</f>
        <v>0.569193800469</v>
      </c>
      <c r="H294" s="12" t="n">
        <f aca="false">(2*Annual_Data!$E$22-Annual_Data!$E$23)+(Annual_Data!$E$22-(2*Annual_Data!$E$22-Annual_Data!$E$23))*D294/12</f>
        <v>62</v>
      </c>
      <c r="I294" s="13" t="n">
        <f aca="false">Annual_Data!$F$22*Y294</f>
        <v>3700.62922745523</v>
      </c>
      <c r="J294" s="13" t="n">
        <f aca="false">Annual_Data!$H$22*W294</f>
        <v>22035.8027990403</v>
      </c>
      <c r="K294" s="13" t="n">
        <f aca="false">Annual_Data!$I$22*X294</f>
        <v>34402.6394945896</v>
      </c>
      <c r="L294" s="12" t="n">
        <f aca="false">K294*0.0036</f>
        <v>123.849502180522</v>
      </c>
      <c r="M294" s="14" t="n">
        <f aca="false">K294/(I294*E294/1000)</f>
        <v>299.884829344208</v>
      </c>
      <c r="N294" s="10" t="n">
        <f aca="false">LN(F294)</f>
        <v>2.08765184640778</v>
      </c>
      <c r="O294" s="10" t="n">
        <f aca="false">LN(G294)</f>
        <v>-0.563534304482465</v>
      </c>
      <c r="P294" s="10" t="n">
        <f aca="false">LN(I294)</f>
        <v>8.21625814564789</v>
      </c>
      <c r="Q294" s="10" t="n">
        <f aca="false">LN(J294)</f>
        <v>10.0004238095165</v>
      </c>
      <c r="R294" s="10" t="n">
        <f aca="false">LN(M294)</f>
        <v>5.70339849876092</v>
      </c>
      <c r="S294" s="3" t="n">
        <v>0</v>
      </c>
      <c r="T294" s="3" t="s">
        <v>47</v>
      </c>
      <c r="U294" s="15" t="n">
        <v>0.082305640956</v>
      </c>
      <c r="V294" s="15" t="n">
        <v>0.081313400067</v>
      </c>
      <c r="W294" s="15" t="n">
        <v>0.079640187642</v>
      </c>
      <c r="X294" s="15" t="n">
        <v>0.082566268734</v>
      </c>
      <c r="Y294" s="15" t="n">
        <v>0.996936753086</v>
      </c>
    </row>
    <row r="295" customFormat="false" ht="15" hidden="false" customHeight="true" outlineLevel="0" collapsed="false">
      <c r="A295" s="3" t="s">
        <v>25</v>
      </c>
      <c r="B295" s="9" t="n">
        <v>44348</v>
      </c>
      <c r="C295" s="3" t="n">
        <v>2021</v>
      </c>
      <c r="D295" s="3" t="n">
        <v>6</v>
      </c>
      <c r="E295" s="3" t="n">
        <v>30</v>
      </c>
      <c r="F295" s="10" t="n">
        <f aca="false">Annual_Data!$C$22*U295</f>
        <v>7.798012026616</v>
      </c>
      <c r="G295" s="11" t="n">
        <f aca="false">Annual_Data!$D$22*V295</f>
        <v>0.559501270083</v>
      </c>
      <c r="H295" s="12" t="n">
        <f aca="false">(2*Annual_Data!$E$22-Annual_Data!$E$23)+(Annual_Data!$E$22-(2*Annual_Data!$E$22-Annual_Data!$E$23))*D295/12</f>
        <v>62</v>
      </c>
      <c r="I295" s="13" t="n">
        <f aca="false">Annual_Data!$F$22*Y295</f>
        <v>3654.852888608</v>
      </c>
      <c r="J295" s="13" t="n">
        <f aca="false">Annual_Data!$H$22*W295</f>
        <v>21512.0200169784</v>
      </c>
      <c r="K295" s="13" t="n">
        <f aca="false">Annual_Data!$I$22*X295</f>
        <v>33569.3288208582</v>
      </c>
      <c r="L295" s="12" t="n">
        <f aca="false">K295*0.0036</f>
        <v>120.84958375509</v>
      </c>
      <c r="M295" s="14" t="n">
        <f aca="false">K295/(I295*E295/1000)</f>
        <v>306.162152476709</v>
      </c>
      <c r="N295" s="10" t="n">
        <f aca="false">LN(F295)</f>
        <v>2.05386883282852</v>
      </c>
      <c r="O295" s="10" t="n">
        <f aca="false">LN(G295)</f>
        <v>-0.580709481200562</v>
      </c>
      <c r="P295" s="10" t="n">
        <f aca="false">LN(I295)</f>
        <v>8.203811122019</v>
      </c>
      <c r="Q295" s="10" t="n">
        <f aca="false">LN(J295)</f>
        <v>9.97636712845117</v>
      </c>
      <c r="R295" s="10" t="n">
        <f aca="false">LN(M295)</f>
        <v>5.72411487165423</v>
      </c>
      <c r="S295" s="3" t="n">
        <v>0</v>
      </c>
      <c r="T295" s="3" t="s">
        <v>47</v>
      </c>
      <c r="U295" s="15" t="n">
        <v>0.079571551292</v>
      </c>
      <c r="V295" s="15" t="n">
        <v>0.079928752869</v>
      </c>
      <c r="W295" s="15" t="n">
        <v>0.0777471702</v>
      </c>
      <c r="X295" s="15" t="n">
        <v>0.080566324717</v>
      </c>
      <c r="Y295" s="15" t="n">
        <v>0.98460476525</v>
      </c>
    </row>
    <row r="296" customFormat="false" ht="15" hidden="false" customHeight="true" outlineLevel="0" collapsed="false">
      <c r="A296" s="3" t="s">
        <v>25</v>
      </c>
      <c r="B296" s="9" t="n">
        <v>44378</v>
      </c>
      <c r="C296" s="3" t="n">
        <v>2021</v>
      </c>
      <c r="D296" s="3" t="n">
        <v>7</v>
      </c>
      <c r="E296" s="3" t="n">
        <v>31</v>
      </c>
      <c r="F296" s="10" t="n">
        <f aca="false">Annual_Data!$C$22*U296</f>
        <v>8.292245755976</v>
      </c>
      <c r="G296" s="11" t="n">
        <f aca="false">Annual_Data!$D$22*V296</f>
        <v>0.606082763923</v>
      </c>
      <c r="H296" s="12" t="n">
        <f aca="false">(2*Annual_Data!$E$22-Annual_Data!$E$23)+(Annual_Data!$E$22-(2*Annual_Data!$E$22-Annual_Data!$E$23))*D296/12</f>
        <v>62</v>
      </c>
      <c r="I296" s="13" t="n">
        <f aca="false">Annual_Data!$F$22*Y296</f>
        <v>3682.86653694426</v>
      </c>
      <c r="J296" s="13" t="n">
        <f aca="false">Annual_Data!$H$22*W296</f>
        <v>22450.8001831449</v>
      </c>
      <c r="K296" s="13" t="n">
        <f aca="false">Annual_Data!$I$22*X296</f>
        <v>35507.753761597</v>
      </c>
      <c r="L296" s="12" t="n">
        <f aca="false">K296*0.0036</f>
        <v>127.827913541749</v>
      </c>
      <c r="M296" s="14" t="n">
        <f aca="false">K296/(I296*E296/1000)</f>
        <v>311.010839022906</v>
      </c>
      <c r="N296" s="10" t="n">
        <f aca="false">LN(F296)</f>
        <v>2.11532083185456</v>
      </c>
      <c r="O296" s="10" t="n">
        <f aca="false">LN(G296)</f>
        <v>-0.500738728107857</v>
      </c>
      <c r="P296" s="10" t="n">
        <f aca="false">LN(I296)</f>
        <v>8.21144667819527</v>
      </c>
      <c r="Q296" s="10" t="n">
        <f aca="false">LN(J296)</f>
        <v>10.019081535437</v>
      </c>
      <c r="R296" s="10" t="n">
        <f aca="false">LN(M296)</f>
        <v>5.7398277637356</v>
      </c>
      <c r="S296" s="3" t="n">
        <v>0</v>
      </c>
      <c r="T296" s="3" t="s">
        <v>47</v>
      </c>
      <c r="U296" s="15" t="n">
        <v>0.084614752612</v>
      </c>
      <c r="V296" s="15" t="n">
        <v>0.086583251989</v>
      </c>
      <c r="W296" s="15" t="n">
        <v>0.081140040851</v>
      </c>
      <c r="X296" s="15" t="n">
        <v>0.085218540853</v>
      </c>
      <c r="Y296" s="15" t="n">
        <v>0.992151545513</v>
      </c>
    </row>
    <row r="297" customFormat="false" ht="15" hidden="false" customHeight="true" outlineLevel="0" collapsed="false">
      <c r="A297" s="3" t="s">
        <v>25</v>
      </c>
      <c r="B297" s="9" t="n">
        <v>44409</v>
      </c>
      <c r="C297" s="3" t="n">
        <v>2021</v>
      </c>
      <c r="D297" s="3" t="n">
        <v>8</v>
      </c>
      <c r="E297" s="3" t="n">
        <v>31</v>
      </c>
      <c r="F297" s="10" t="n">
        <f aca="false">Annual_Data!$C$22*U297</f>
        <v>8.480011960518</v>
      </c>
      <c r="G297" s="11" t="n">
        <f aca="false">Annual_Data!$D$22*V297</f>
        <v>0.656658185589</v>
      </c>
      <c r="H297" s="12" t="n">
        <f aca="false">(2*Annual_Data!$E$22-Annual_Data!$E$23)+(Annual_Data!$E$22-(2*Annual_Data!$E$22-Annual_Data!$E$23))*D297/12</f>
        <v>62</v>
      </c>
      <c r="I297" s="13" t="n">
        <f aca="false">Annual_Data!$F$22*Y297</f>
        <v>3738.46254129971</v>
      </c>
      <c r="J297" s="13" t="n">
        <f aca="false">Annual_Data!$H$22*W297</f>
        <v>23995.7433342001</v>
      </c>
      <c r="K297" s="13" t="n">
        <f aca="false">Annual_Data!$I$22*X297</f>
        <v>36077.3997989801</v>
      </c>
      <c r="L297" s="12" t="n">
        <f aca="false">K297*0.0036</f>
        <v>129.878639276328</v>
      </c>
      <c r="M297" s="14" t="n">
        <f aca="false">K297/(I297*E297/1000)</f>
        <v>311.30099002813</v>
      </c>
      <c r="N297" s="10" t="n">
        <f aca="false">LN(F297)</f>
        <v>2.13771186024126</v>
      </c>
      <c r="O297" s="10" t="n">
        <f aca="false">LN(G297)</f>
        <v>-0.420591661348317</v>
      </c>
      <c r="P297" s="10" t="n">
        <f aca="false">LN(I297)</f>
        <v>8.22642972067591</v>
      </c>
      <c r="Q297" s="10" t="n">
        <f aca="false">LN(J297)</f>
        <v>10.0856317325248</v>
      </c>
      <c r="R297" s="10" t="n">
        <f aca="false">LN(M297)</f>
        <v>5.74076025774488</v>
      </c>
      <c r="S297" s="3" t="n">
        <v>0</v>
      </c>
      <c r="T297" s="3" t="s">
        <v>47</v>
      </c>
      <c r="U297" s="15" t="n">
        <v>0.086530734291</v>
      </c>
      <c r="V297" s="15" t="n">
        <v>0.093808312227</v>
      </c>
      <c r="W297" s="15" t="n">
        <v>0.086723661451</v>
      </c>
      <c r="X297" s="15" t="n">
        <v>0.086585690249</v>
      </c>
      <c r="Y297" s="15" t="n">
        <v>1.007128917376</v>
      </c>
    </row>
    <row r="298" customFormat="false" ht="15" hidden="false" customHeight="true" outlineLevel="0" collapsed="false">
      <c r="A298" s="3" t="s">
        <v>25</v>
      </c>
      <c r="B298" s="9" t="n">
        <v>44440</v>
      </c>
      <c r="C298" s="3" t="n">
        <v>2021</v>
      </c>
      <c r="D298" s="3" t="n">
        <v>9</v>
      </c>
      <c r="E298" s="3" t="n">
        <v>30</v>
      </c>
      <c r="F298" s="10" t="n">
        <f aca="false">Annual_Data!$C$22*U298</f>
        <v>7.94603126562</v>
      </c>
      <c r="G298" s="11" t="n">
        <f aca="false">Annual_Data!$D$22*V298</f>
        <v>0.566021709652</v>
      </c>
      <c r="H298" s="12" t="n">
        <f aca="false">(2*Annual_Data!$E$22-Annual_Data!$E$23)+(Annual_Data!$E$22-(2*Annual_Data!$E$22-Annual_Data!$E$23))*D298/12</f>
        <v>62</v>
      </c>
      <c r="I298" s="13" t="n">
        <f aca="false">Annual_Data!$F$22*Y298</f>
        <v>3740.67954668518</v>
      </c>
      <c r="J298" s="13" t="n">
        <f aca="false">Annual_Data!$H$22*W298</f>
        <v>24045.4781797138</v>
      </c>
      <c r="K298" s="13" t="n">
        <f aca="false">Annual_Data!$I$22*X298</f>
        <v>33801.7487713774</v>
      </c>
      <c r="L298" s="12" t="n">
        <f aca="false">K298*0.0036</f>
        <v>121.686295576959</v>
      </c>
      <c r="M298" s="14" t="n">
        <f aca="false">K298/(I298*E298/1000)</f>
        <v>301.208629336978</v>
      </c>
      <c r="N298" s="10" t="n">
        <f aca="false">LN(F298)</f>
        <v>2.07267259214681</v>
      </c>
      <c r="O298" s="10" t="n">
        <f aca="false">LN(G298)</f>
        <v>-0.569122845238919</v>
      </c>
      <c r="P298" s="10" t="n">
        <f aca="false">LN(I298)</f>
        <v>8.22702257087833</v>
      </c>
      <c r="Q298" s="10" t="n">
        <f aca="false">LN(J298)</f>
        <v>10.0877022403809</v>
      </c>
      <c r="R298" s="10" t="n">
        <f aca="false">LN(M298)</f>
        <v>5.7078031453725</v>
      </c>
      <c r="S298" s="3" t="n">
        <v>0</v>
      </c>
      <c r="T298" s="3" t="s">
        <v>47</v>
      </c>
      <c r="U298" s="15" t="n">
        <v>0.08108195169</v>
      </c>
      <c r="V298" s="15" t="n">
        <v>0.080860244236</v>
      </c>
      <c r="W298" s="15" t="n">
        <v>0.086903409494</v>
      </c>
      <c r="X298" s="15" t="n">
        <v>0.081124132152</v>
      </c>
      <c r="Y298" s="15" t="n">
        <v>1.007726170982</v>
      </c>
    </row>
    <row r="299" customFormat="false" ht="15" hidden="false" customHeight="true" outlineLevel="0" collapsed="false">
      <c r="A299" s="3" t="s">
        <v>25</v>
      </c>
      <c r="B299" s="9" t="n">
        <v>44470</v>
      </c>
      <c r="C299" s="3" t="n">
        <v>2021</v>
      </c>
      <c r="D299" s="3" t="n">
        <v>10</v>
      </c>
      <c r="E299" s="3" t="n">
        <v>31</v>
      </c>
      <c r="F299" s="10" t="n">
        <f aca="false">Annual_Data!$C$22*U299</f>
        <v>7.955565634072</v>
      </c>
      <c r="G299" s="11" t="n">
        <f aca="false">Annual_Data!$D$22*V299</f>
        <v>0.56299975046</v>
      </c>
      <c r="H299" s="12" t="n">
        <f aca="false">(2*Annual_Data!$E$22-Annual_Data!$E$23)+(Annual_Data!$E$22-(2*Annual_Data!$E$22-Annual_Data!$E$23))*D299/12</f>
        <v>62</v>
      </c>
      <c r="I299" s="13" t="n">
        <f aca="false">Annual_Data!$F$22*Y299</f>
        <v>3697.28708247142</v>
      </c>
      <c r="J299" s="13" t="n">
        <f aca="false">Annual_Data!$H$22*W299</f>
        <v>26156.2554019079</v>
      </c>
      <c r="K299" s="13" t="n">
        <f aca="false">Annual_Data!$I$22*X299</f>
        <v>33837.6945347173</v>
      </c>
      <c r="L299" s="12" t="n">
        <f aca="false">K299*0.0036</f>
        <v>121.815700324982</v>
      </c>
      <c r="M299" s="14" t="n">
        <f aca="false">K299/(I299*E299/1000)</f>
        <v>295.226880961688</v>
      </c>
      <c r="N299" s="10" t="n">
        <f aca="false">LN(F299)</f>
        <v>2.0738717634822</v>
      </c>
      <c r="O299" s="10" t="n">
        <f aca="false">LN(G299)</f>
        <v>-0.574476094075227</v>
      </c>
      <c r="P299" s="10" t="n">
        <f aca="false">LN(I299)</f>
        <v>8.2153546087407</v>
      </c>
      <c r="Q299" s="10" t="n">
        <f aca="false">LN(J299)</f>
        <v>10.1718436531964</v>
      </c>
      <c r="R299" s="10" t="n">
        <f aca="false">LN(M299)</f>
        <v>5.68774414874891</v>
      </c>
      <c r="S299" s="3" t="n">
        <v>0</v>
      </c>
      <c r="T299" s="3" t="s">
        <v>47</v>
      </c>
      <c r="U299" s="15" t="n">
        <v>0.081179241164</v>
      </c>
      <c r="V299" s="15" t="n">
        <v>0.08042853578</v>
      </c>
      <c r="W299" s="15" t="n">
        <v>0.094532026231</v>
      </c>
      <c r="X299" s="15" t="n">
        <v>0.081210401915</v>
      </c>
      <c r="Y299" s="15" t="n">
        <v>0.996036390752</v>
      </c>
    </row>
    <row r="300" customFormat="false" ht="15" hidden="false" customHeight="true" outlineLevel="0" collapsed="false">
      <c r="A300" s="3" t="s">
        <v>25</v>
      </c>
      <c r="B300" s="9" t="n">
        <v>44501</v>
      </c>
      <c r="C300" s="3" t="n">
        <v>2021</v>
      </c>
      <c r="D300" s="3" t="n">
        <v>11</v>
      </c>
      <c r="E300" s="3" t="n">
        <v>30</v>
      </c>
      <c r="F300" s="10" t="n">
        <f aca="false">Annual_Data!$C$22*U300</f>
        <v>8.198453378332</v>
      </c>
      <c r="G300" s="11" t="n">
        <f aca="false">Annual_Data!$D$22*V300</f>
        <v>0.575073522758</v>
      </c>
      <c r="H300" s="12" t="n">
        <f aca="false">(2*Annual_Data!$E$22-Annual_Data!$E$23)+(Annual_Data!$E$22-(2*Annual_Data!$E$22-Annual_Data!$E$23))*D300/12</f>
        <v>62</v>
      </c>
      <c r="I300" s="13" t="n">
        <f aca="false">Annual_Data!$F$22*Y300</f>
        <v>3738.60276479462</v>
      </c>
      <c r="J300" s="13" t="n">
        <f aca="false">Annual_Data!$H$22*W300</f>
        <v>27107.207325798</v>
      </c>
      <c r="K300" s="13" t="n">
        <f aca="false">Annual_Data!$I$22*X300</f>
        <v>34649.8307840091</v>
      </c>
      <c r="L300" s="12" t="n">
        <f aca="false">K300*0.0036</f>
        <v>124.739390822433</v>
      </c>
      <c r="M300" s="14" t="n">
        <f aca="false">K300/(I300*E300/1000)</f>
        <v>308.937437896112</v>
      </c>
      <c r="N300" s="10" t="n">
        <f aca="false">LN(F300)</f>
        <v>2.10394552408212</v>
      </c>
      <c r="O300" s="10" t="n">
        <f aca="false">LN(G300)</f>
        <v>-0.553257380692817</v>
      </c>
      <c r="P300" s="10" t="n">
        <f aca="false">LN(I300)</f>
        <v>8.22646722830469</v>
      </c>
      <c r="Q300" s="10" t="n">
        <f aca="false">LN(J300)</f>
        <v>10.20755492449</v>
      </c>
      <c r="R300" s="10" t="n">
        <f aca="false">LN(M300)</f>
        <v>5.73313879004304</v>
      </c>
      <c r="S300" s="3" t="n">
        <v>0</v>
      </c>
      <c r="T300" s="3" t="s">
        <v>47</v>
      </c>
      <c r="U300" s="15" t="n">
        <v>0.083657687534</v>
      </c>
      <c r="V300" s="15" t="n">
        <v>0.082153360394</v>
      </c>
      <c r="W300" s="15" t="n">
        <v>0.097968887159</v>
      </c>
      <c r="X300" s="15" t="n">
        <v>0.083159527354</v>
      </c>
      <c r="Y300" s="15" t="n">
        <v>1.007166693102</v>
      </c>
    </row>
    <row r="301" customFormat="false" ht="15" hidden="false" customHeight="true" outlineLevel="0" collapsed="false">
      <c r="A301" s="3" t="s">
        <v>25</v>
      </c>
      <c r="B301" s="9" t="n">
        <v>44531</v>
      </c>
      <c r="C301" s="3" t="n">
        <v>2021</v>
      </c>
      <c r="D301" s="3" t="n">
        <v>12</v>
      </c>
      <c r="E301" s="3" t="n">
        <v>31</v>
      </c>
      <c r="F301" s="10" t="n">
        <f aca="false">Annual_Data!$C$22*U301</f>
        <v>8.758624996492</v>
      </c>
      <c r="G301" s="11" t="n">
        <f aca="false">Annual_Data!$D$22*V301</f>
        <v>0.605841454771</v>
      </c>
      <c r="H301" s="12" t="n">
        <f aca="false">(2*Annual_Data!$E$22-Annual_Data!$E$23)+(Annual_Data!$E$22-(2*Annual_Data!$E$22-Annual_Data!$E$23))*D301/12</f>
        <v>62</v>
      </c>
      <c r="I301" s="13" t="n">
        <f aca="false">Annual_Data!$F$22*Y301</f>
        <v>3808.87725306419</v>
      </c>
      <c r="J301" s="13" t="n">
        <f aca="false">Annual_Data!$H$22*W301</f>
        <v>29153.619281778</v>
      </c>
      <c r="K301" s="13" t="n">
        <f aca="false">Annual_Data!$I$22*X301</f>
        <v>37174.4364378587</v>
      </c>
      <c r="L301" s="12" t="n">
        <f aca="false">K301*0.0036</f>
        <v>133.827971176291</v>
      </c>
      <c r="M301" s="14" t="n">
        <f aca="false">K301/(I301*E301/1000)</f>
        <v>314.836968820264</v>
      </c>
      <c r="N301" s="10" t="n">
        <f aca="false">LN(F301)</f>
        <v>2.17003892875741</v>
      </c>
      <c r="O301" s="10" t="n">
        <f aca="false">LN(G301)</f>
        <v>-0.501136952933249</v>
      </c>
      <c r="P301" s="10" t="n">
        <f aca="false">LN(I301)</f>
        <v>8.2450897404577</v>
      </c>
      <c r="Q301" s="10" t="n">
        <f aca="false">LN(J301)</f>
        <v>10.2803343446812</v>
      </c>
      <c r="R301" s="10" t="n">
        <f aca="false">LN(M301)</f>
        <v>5.75205494554484</v>
      </c>
      <c r="S301" s="3" t="n">
        <v>0</v>
      </c>
      <c r="T301" s="3" t="s">
        <v>47</v>
      </c>
      <c r="U301" s="15" t="n">
        <v>0.089373724454</v>
      </c>
      <c r="V301" s="15" t="n">
        <v>0.086548779253</v>
      </c>
      <c r="W301" s="15" t="n">
        <v>0.105364879656</v>
      </c>
      <c r="X301" s="15" t="n">
        <v>0.089218576076</v>
      </c>
      <c r="Y301" s="15" t="n">
        <v>1.026098397916</v>
      </c>
    </row>
    <row r="302" customFormat="false" ht="15" hidden="false" customHeight="true" outlineLevel="0" collapsed="false">
      <c r="A302" s="3" t="s">
        <v>25</v>
      </c>
      <c r="B302" s="9" t="n">
        <v>44562</v>
      </c>
      <c r="C302" s="3" t="n">
        <v>2022</v>
      </c>
      <c r="D302" s="3" t="n">
        <v>1</v>
      </c>
      <c r="E302" s="3" t="n">
        <v>31</v>
      </c>
      <c r="F302" s="10" t="n">
        <f aca="false">Annual_Data!$C$23*U302</f>
        <v>8.338710444626</v>
      </c>
      <c r="G302" s="11" t="n">
        <f aca="false">Annual_Data!$D$23*V302</f>
        <v>0.605230461108</v>
      </c>
      <c r="H302" s="12" t="n">
        <f aca="false">Annual_Data!$E$22+(Annual_Data!$E$23-Annual_Data!$E$22)*D302/12</f>
        <v>62</v>
      </c>
      <c r="I302" s="13" t="n">
        <f aca="false">Annual_Data!$F$23*Y302</f>
        <v>3709.55119322843</v>
      </c>
      <c r="J302" s="13" t="n">
        <f aca="false">Annual_Data!$H$23*W302</f>
        <v>29746.5267381792</v>
      </c>
      <c r="K302" s="13" t="n">
        <f aca="false">Annual_Data!$I$23*X302</f>
        <v>35416.3709734908</v>
      </c>
      <c r="L302" s="12" t="n">
        <f aca="false">K302*0.0036</f>
        <v>127.498935504567</v>
      </c>
      <c r="M302" s="14" t="n">
        <f aca="false">K302/(I302*E302/1000)</f>
        <v>307.97892259191</v>
      </c>
      <c r="N302" s="10" t="n">
        <f aca="false">LN(F302)</f>
        <v>2.12090858146877</v>
      </c>
      <c r="O302" s="10" t="n">
        <f aca="false">LN(G302)</f>
        <v>-0.502145966034498</v>
      </c>
      <c r="P302" s="10" t="n">
        <f aca="false">LN(I302)</f>
        <v>8.21866617610813</v>
      </c>
      <c r="Q302" s="10" t="n">
        <f aca="false">LN(J302)</f>
        <v>10.3004676558617</v>
      </c>
      <c r="R302" s="10" t="n">
        <f aca="false">LN(M302)</f>
        <v>5.73003134748877</v>
      </c>
      <c r="S302" s="3" t="n">
        <v>0</v>
      </c>
      <c r="T302" s="3" t="s">
        <v>47</v>
      </c>
      <c r="U302" s="15" t="n">
        <v>0.085966087058</v>
      </c>
      <c r="V302" s="15" t="n">
        <v>0.086461494444</v>
      </c>
      <c r="W302" s="15" t="n">
        <v>0.074613473978</v>
      </c>
      <c r="X302" s="15" t="n">
        <v>0.084999222337</v>
      </c>
      <c r="Y302" s="15" t="n">
        <v>0.992654855025</v>
      </c>
    </row>
    <row r="303" customFormat="false" ht="15" hidden="false" customHeight="true" outlineLevel="0" collapsed="false">
      <c r="A303" s="3" t="s">
        <v>25</v>
      </c>
      <c r="B303" s="9" t="n">
        <v>44593</v>
      </c>
      <c r="C303" s="3" t="n">
        <v>2022</v>
      </c>
      <c r="D303" s="3" t="n">
        <v>2</v>
      </c>
      <c r="E303" s="3" t="n">
        <v>28</v>
      </c>
      <c r="F303" s="10" t="n">
        <f aca="false">Annual_Data!$C$23*U303</f>
        <v>7.536761069907</v>
      </c>
      <c r="G303" s="11" t="n">
        <f aca="false">Annual_Data!$D$23*V303</f>
        <v>0.531275365726</v>
      </c>
      <c r="H303" s="12" t="n">
        <f aca="false">Annual_Data!$E$22+(Annual_Data!$E$23-Annual_Data!$E$22)*D303/12</f>
        <v>62</v>
      </c>
      <c r="I303" s="13" t="n">
        <f aca="false">Annual_Data!$F$23*Y303</f>
        <v>3741.13764232004</v>
      </c>
      <c r="J303" s="13" t="n">
        <f aca="false">Annual_Data!$H$23*W303</f>
        <v>29007.9172316133</v>
      </c>
      <c r="K303" s="13" t="n">
        <f aca="false">Annual_Data!$I$23*X303</f>
        <v>32122.965272935</v>
      </c>
      <c r="L303" s="12" t="n">
        <f aca="false">K303*0.0036</f>
        <v>115.642674982566</v>
      </c>
      <c r="M303" s="14" t="n">
        <f aca="false">K303/(I303*E303/1000)</f>
        <v>306.657725385431</v>
      </c>
      <c r="N303" s="10" t="n">
        <f aca="false">LN(F303)</f>
        <v>2.01979252340449</v>
      </c>
      <c r="O303" s="10" t="n">
        <f aca="false">LN(G303)</f>
        <v>-0.632474812634433</v>
      </c>
      <c r="P303" s="10" t="n">
        <f aca="false">LN(I303)</f>
        <v>8.22714502659299</v>
      </c>
      <c r="Q303" s="10" t="n">
        <f aca="false">LN(J303)</f>
        <v>10.2753240796954</v>
      </c>
      <c r="R303" s="10" t="n">
        <f aca="false">LN(M303)</f>
        <v>5.72573222459807</v>
      </c>
      <c r="S303" s="3" t="n">
        <v>0</v>
      </c>
      <c r="T303" s="3" t="s">
        <v>47</v>
      </c>
      <c r="U303" s="15" t="n">
        <v>0.077698567731</v>
      </c>
      <c r="V303" s="15" t="n">
        <v>0.075896480818</v>
      </c>
      <c r="W303" s="15" t="n">
        <v>0.072760813273</v>
      </c>
      <c r="X303" s="15" t="n">
        <v>0.077095054979</v>
      </c>
      <c r="Y303" s="15" t="n">
        <v>1.001107209612</v>
      </c>
    </row>
    <row r="304" customFormat="false" ht="15" hidden="false" customHeight="true" outlineLevel="0" collapsed="false">
      <c r="A304" s="3" t="s">
        <v>25</v>
      </c>
      <c r="B304" s="9" t="n">
        <v>44621</v>
      </c>
      <c r="C304" s="3" t="n">
        <v>2022</v>
      </c>
      <c r="D304" s="3" t="n">
        <v>3</v>
      </c>
      <c r="E304" s="3" t="n">
        <v>31</v>
      </c>
      <c r="F304" s="10" t="n">
        <f aca="false">Annual_Data!$C$23*U304</f>
        <v>8.37281598335</v>
      </c>
      <c r="G304" s="11" t="n">
        <f aca="false">Annual_Data!$D$23*V304</f>
        <v>0.594172963398</v>
      </c>
      <c r="H304" s="12" t="n">
        <f aca="false">Annual_Data!$E$22+(Annual_Data!$E$23-Annual_Data!$E$22)*D304/12</f>
        <v>62</v>
      </c>
      <c r="I304" s="13" t="n">
        <f aca="false">Annual_Data!$F$23*Y304</f>
        <v>3778.20151315835</v>
      </c>
      <c r="J304" s="13" t="n">
        <f aca="false">Annual_Data!$H$23*W304</f>
        <v>32970.0155580752</v>
      </c>
      <c r="K304" s="13" t="n">
        <f aca="false">Annual_Data!$I$23*X304</f>
        <v>35370.0312855857</v>
      </c>
      <c r="L304" s="12" t="n">
        <f aca="false">K304*0.0036</f>
        <v>127.332112628109</v>
      </c>
      <c r="M304" s="14" t="n">
        <f aca="false">K304/(I304*E304/1000)</f>
        <v>301.987267533051</v>
      </c>
      <c r="N304" s="10" t="n">
        <f aca="false">LN(F304)</f>
        <v>2.12499026559514</v>
      </c>
      <c r="O304" s="10" t="n">
        <f aca="false">LN(G304)</f>
        <v>-0.520584817833658</v>
      </c>
      <c r="P304" s="10" t="n">
        <f aca="false">LN(I304)</f>
        <v>8.23700338521983</v>
      </c>
      <c r="Q304" s="10" t="n">
        <f aca="false">LN(J304)</f>
        <v>10.4033538079515</v>
      </c>
      <c r="R304" s="10" t="n">
        <f aca="false">LN(M304)</f>
        <v>5.7103848559995</v>
      </c>
      <c r="S304" s="3" t="n">
        <v>0</v>
      </c>
      <c r="T304" s="3" t="s">
        <v>47</v>
      </c>
      <c r="U304" s="15" t="n">
        <v>0.08631769055</v>
      </c>
      <c r="V304" s="15" t="n">
        <v>0.084881851914</v>
      </c>
      <c r="W304" s="15" t="n">
        <v>0.082698979264</v>
      </c>
      <c r="X304" s="15" t="n">
        <v>0.084888007175</v>
      </c>
      <c r="Y304" s="15" t="n">
        <v>1.011025291185</v>
      </c>
    </row>
    <row r="305" customFormat="false" ht="15" hidden="false" customHeight="true" outlineLevel="0" collapsed="false">
      <c r="A305" s="3" t="s">
        <v>25</v>
      </c>
      <c r="B305" s="9" t="n">
        <v>44652</v>
      </c>
      <c r="C305" s="3" t="n">
        <v>2022</v>
      </c>
      <c r="D305" s="3" t="n">
        <v>4</v>
      </c>
      <c r="E305" s="3" t="n">
        <v>30</v>
      </c>
      <c r="F305" s="10" t="n">
        <f aca="false">Annual_Data!$C$23*U305</f>
        <v>7.720796129345</v>
      </c>
      <c r="G305" s="11" t="n">
        <f aca="false">Annual_Data!$D$23*V305</f>
        <v>0.552911551997</v>
      </c>
      <c r="H305" s="12" t="n">
        <f aca="false">Annual_Data!$E$22+(Annual_Data!$E$23-Annual_Data!$E$22)*D305/12</f>
        <v>62</v>
      </c>
      <c r="I305" s="13" t="n">
        <f aca="false">Annual_Data!$F$23*Y305</f>
        <v>3691.39647847621</v>
      </c>
      <c r="J305" s="13" t="n">
        <f aca="false">Annual_Data!$H$23*W305</f>
        <v>31832.6651321928</v>
      </c>
      <c r="K305" s="13" t="n">
        <f aca="false">Annual_Data!$I$23*X305</f>
        <v>32687.3896236408</v>
      </c>
      <c r="L305" s="12" t="n">
        <f aca="false">K305*0.0036</f>
        <v>117.674602645107</v>
      </c>
      <c r="M305" s="14" t="n">
        <f aca="false">K305/(I305*E305/1000)</f>
        <v>295.167333141936</v>
      </c>
      <c r="N305" s="10" t="n">
        <f aca="false">LN(F305)</f>
        <v>2.04391748428243</v>
      </c>
      <c r="O305" s="10" t="n">
        <f aca="false">LN(G305)</f>
        <v>-0.592557232391151</v>
      </c>
      <c r="P305" s="10" t="n">
        <f aca="false">LN(I305)</f>
        <v>8.21376011489219</v>
      </c>
      <c r="Q305" s="10" t="n">
        <f aca="false">LN(J305)</f>
        <v>10.3682482469687</v>
      </c>
      <c r="R305" s="10" t="n">
        <f aca="false">LN(M305)</f>
        <v>5.68754242651475</v>
      </c>
      <c r="S305" s="3" t="n">
        <v>0</v>
      </c>
      <c r="T305" s="3" t="s">
        <v>47</v>
      </c>
      <c r="U305" s="15" t="n">
        <v>0.079595836385</v>
      </c>
      <c r="V305" s="15" t="n">
        <v>0.078987364571</v>
      </c>
      <c r="W305" s="15" t="n">
        <v>0.079846153213</v>
      </c>
      <c r="X305" s="15" t="n">
        <v>0.078449672337</v>
      </c>
      <c r="Y305" s="15" t="n">
        <v>0.987796756349</v>
      </c>
    </row>
    <row r="306" customFormat="false" ht="15" hidden="false" customHeight="true" outlineLevel="0" collapsed="false">
      <c r="A306" s="3" t="s">
        <v>25</v>
      </c>
      <c r="B306" s="9" t="n">
        <v>44682</v>
      </c>
      <c r="C306" s="3" t="n">
        <v>2022</v>
      </c>
      <c r="D306" s="3" t="n">
        <v>5</v>
      </c>
      <c r="E306" s="3" t="n">
        <v>31</v>
      </c>
      <c r="F306" s="10" t="n">
        <f aca="false">Annual_Data!$C$23*U306</f>
        <v>8.051531605881</v>
      </c>
      <c r="G306" s="11" t="n">
        <f aca="false">Annual_Data!$D$23*V306</f>
        <v>0.590104022963</v>
      </c>
      <c r="H306" s="12" t="n">
        <f aca="false">Annual_Data!$E$22+(Annual_Data!$E$23-Annual_Data!$E$22)*D306/12</f>
        <v>62</v>
      </c>
      <c r="I306" s="13" t="n">
        <f aca="false">Annual_Data!$F$23*Y306</f>
        <v>3744.60104768962</v>
      </c>
      <c r="J306" s="13" t="n">
        <f aca="false">Annual_Data!$H$23*W306</f>
        <v>34320.2273684043</v>
      </c>
      <c r="K306" s="13" t="n">
        <f aca="false">Annual_Data!$I$23*X306</f>
        <v>34113.4451099009</v>
      </c>
      <c r="L306" s="12" t="n">
        <f aca="false">K306*0.0036</f>
        <v>122.808402395643</v>
      </c>
      <c r="M306" s="14" t="n">
        <f aca="false">K306/(I306*E306/1000)</f>
        <v>293.87208389037</v>
      </c>
      <c r="N306" s="10" t="n">
        <f aca="false">LN(F306)</f>
        <v>2.08586233493315</v>
      </c>
      <c r="O306" s="10" t="n">
        <f aca="false">LN(G306)</f>
        <v>-0.527456447516392</v>
      </c>
      <c r="P306" s="10" t="n">
        <f aca="false">LN(I306)</f>
        <v>8.2280703609548</v>
      </c>
      <c r="Q306" s="10" t="n">
        <f aca="false">LN(J306)</f>
        <v>10.4434901785335</v>
      </c>
      <c r="R306" s="10" t="n">
        <f aca="false">LN(M306)</f>
        <v>5.68314458385182</v>
      </c>
      <c r="S306" s="3" t="n">
        <v>0</v>
      </c>
      <c r="T306" s="3" t="s">
        <v>47</v>
      </c>
      <c r="U306" s="15" t="n">
        <v>0.083005480473</v>
      </c>
      <c r="V306" s="15" t="n">
        <v>0.084300574709</v>
      </c>
      <c r="W306" s="15" t="n">
        <v>0.086085727393</v>
      </c>
      <c r="X306" s="15" t="n">
        <v>0.081872202766</v>
      </c>
      <c r="Y306" s="15" t="n">
        <v>1.002033997241</v>
      </c>
    </row>
    <row r="307" customFormat="false" ht="15" hidden="false" customHeight="true" outlineLevel="0" collapsed="false">
      <c r="A307" s="3" t="s">
        <v>25</v>
      </c>
      <c r="B307" s="9" t="n">
        <v>44713</v>
      </c>
      <c r="C307" s="3" t="n">
        <v>2022</v>
      </c>
      <c r="D307" s="3" t="n">
        <v>6</v>
      </c>
      <c r="E307" s="3" t="n">
        <v>30</v>
      </c>
      <c r="F307" s="10" t="n">
        <f aca="false">Annual_Data!$C$23*U307</f>
        <v>7.874233986993</v>
      </c>
      <c r="G307" s="11" t="n">
        <f aca="false">Annual_Data!$D$23*V307</f>
        <v>0.571612082104</v>
      </c>
      <c r="H307" s="12" t="n">
        <f aca="false">Annual_Data!$E$22+(Annual_Data!$E$23-Annual_Data!$E$22)*D307/12</f>
        <v>62</v>
      </c>
      <c r="I307" s="13" t="n">
        <f aca="false">Annual_Data!$F$23*Y307</f>
        <v>3740.56160204024</v>
      </c>
      <c r="J307" s="13" t="n">
        <f aca="false">Annual_Data!$H$23*W307</f>
        <v>34382.7479351303</v>
      </c>
      <c r="K307" s="13" t="n">
        <f aca="false">Annual_Data!$I$23*X307</f>
        <v>34007.0226539297</v>
      </c>
      <c r="L307" s="12" t="n">
        <f aca="false">K307*0.0036</f>
        <v>122.425281554147</v>
      </c>
      <c r="M307" s="14" t="n">
        <f aca="false">K307/(I307*E307/1000)</f>
        <v>303.047387638094</v>
      </c>
      <c r="N307" s="10" t="n">
        <f aca="false">LN(F307)</f>
        <v>2.06359590848757</v>
      </c>
      <c r="O307" s="10" t="n">
        <f aca="false">LN(G307)</f>
        <v>-0.559294695809018</v>
      </c>
      <c r="P307" s="10" t="n">
        <f aca="false">LN(I307)</f>
        <v>8.22699104010887</v>
      </c>
      <c r="Q307" s="10" t="n">
        <f aca="false">LN(J307)</f>
        <v>10.4453102040479</v>
      </c>
      <c r="R307" s="10" t="n">
        <f aca="false">LN(M307)</f>
        <v>5.71388918812616</v>
      </c>
      <c r="S307" s="3" t="n">
        <v>0</v>
      </c>
      <c r="T307" s="3" t="s">
        <v>47</v>
      </c>
      <c r="U307" s="15" t="n">
        <v>0.081177669969</v>
      </c>
      <c r="V307" s="15" t="n">
        <v>0.081658868872</v>
      </c>
      <c r="W307" s="15" t="n">
        <v>0.086242548279</v>
      </c>
      <c r="X307" s="15" t="n">
        <v>0.081616789076</v>
      </c>
      <c r="Y307" s="15" t="n">
        <v>1.000953064501</v>
      </c>
    </row>
    <row r="308" customFormat="false" ht="15" hidden="false" customHeight="true" outlineLevel="0" collapsed="false">
      <c r="A308" s="3" t="s">
        <v>25</v>
      </c>
      <c r="B308" s="9" t="n">
        <v>44743</v>
      </c>
      <c r="C308" s="3" t="n">
        <v>2022</v>
      </c>
      <c r="D308" s="3" t="n">
        <v>7</v>
      </c>
      <c r="E308" s="3" t="n">
        <v>31</v>
      </c>
      <c r="F308" s="10" t="n">
        <f aca="false">Annual_Data!$C$23*U308</f>
        <v>8.286833901107</v>
      </c>
      <c r="G308" s="11" t="n">
        <f aca="false">Annual_Data!$D$23*V308</f>
        <v>0.640021551456</v>
      </c>
      <c r="H308" s="12" t="n">
        <f aca="false">Annual_Data!$E$22+(Annual_Data!$E$23-Annual_Data!$E$22)*D308/12</f>
        <v>62</v>
      </c>
      <c r="I308" s="13" t="n">
        <f aca="false">Annual_Data!$F$23*Y308</f>
        <v>3753.77376231147</v>
      </c>
      <c r="J308" s="13" t="n">
        <f aca="false">Annual_Data!$H$23*W308</f>
        <v>34991.2860635084</v>
      </c>
      <c r="K308" s="13" t="n">
        <f aca="false">Annual_Data!$I$23*X308</f>
        <v>35516.1411049735</v>
      </c>
      <c r="L308" s="12" t="n">
        <f aca="false">K308*0.0036</f>
        <v>127.858107977905</v>
      </c>
      <c r="M308" s="14" t="n">
        <f aca="false">K308/(I308*E308/1000)</f>
        <v>305.208050264249</v>
      </c>
      <c r="N308" s="10" t="n">
        <f aca="false">LN(F308)</f>
        <v>2.11466797835808</v>
      </c>
      <c r="O308" s="10" t="n">
        <f aca="false">LN(G308)</f>
        <v>-0.446253429045381</v>
      </c>
      <c r="P308" s="10" t="n">
        <f aca="false">LN(I308)</f>
        <v>8.23051694956361</v>
      </c>
      <c r="Q308" s="10" t="n">
        <f aca="false">LN(J308)</f>
        <v>10.4628543398594</v>
      </c>
      <c r="R308" s="10" t="n">
        <f aca="false">LN(M308)</f>
        <v>5.72099367607505</v>
      </c>
      <c r="S308" s="3" t="n">
        <v>0</v>
      </c>
      <c r="T308" s="3" t="s">
        <v>47</v>
      </c>
      <c r="U308" s="15" t="n">
        <v>0.085431277331</v>
      </c>
      <c r="V308" s="15" t="n">
        <v>0.091431650208</v>
      </c>
      <c r="W308" s="15" t="n">
        <v>0.087768949805</v>
      </c>
      <c r="X308" s="15" t="n">
        <v>0.085238670461</v>
      </c>
      <c r="Y308" s="15" t="n">
        <v>1.004488563637</v>
      </c>
    </row>
    <row r="309" customFormat="false" ht="15" hidden="false" customHeight="true" outlineLevel="0" collapsed="false">
      <c r="A309" s="3" t="s">
        <v>25</v>
      </c>
      <c r="B309" s="9" t="n">
        <v>44774</v>
      </c>
      <c r="C309" s="3" t="n">
        <v>2022</v>
      </c>
      <c r="D309" s="3" t="n">
        <v>8</v>
      </c>
      <c r="E309" s="3" t="n">
        <v>31</v>
      </c>
      <c r="F309" s="10" t="n">
        <f aca="false">Annual_Data!$C$23*U309</f>
        <v>8.39588984768</v>
      </c>
      <c r="G309" s="11" t="n">
        <f aca="false">Annual_Data!$D$23*V309</f>
        <v>0.62100498614</v>
      </c>
      <c r="H309" s="12" t="n">
        <f aca="false">Annual_Data!$E$22+(Annual_Data!$E$23-Annual_Data!$E$22)*D309/12</f>
        <v>62</v>
      </c>
      <c r="I309" s="13" t="n">
        <f aca="false">Annual_Data!$F$23*Y309</f>
        <v>3747.77626221126</v>
      </c>
      <c r="J309" s="13" t="n">
        <f aca="false">Annual_Data!$H$23*W309</f>
        <v>35532.2124281999</v>
      </c>
      <c r="K309" s="13" t="n">
        <f aca="false">Annual_Data!$I$23*X309</f>
        <v>36007.2848674715</v>
      </c>
      <c r="L309" s="12" t="n">
        <f aca="false">K309*0.0036</f>
        <v>129.626225522897</v>
      </c>
      <c r="M309" s="14" t="n">
        <f aca="false">K309/(I309*E309/1000)</f>
        <v>309.923868726414</v>
      </c>
      <c r="N309" s="10" t="n">
        <f aca="false">LN(F309)</f>
        <v>2.12774228225346</v>
      </c>
      <c r="O309" s="10" t="n">
        <f aca="false">LN(G309)</f>
        <v>-0.476416167869942</v>
      </c>
      <c r="P309" s="10" t="n">
        <f aca="false">LN(I309)</f>
        <v>8.22891794632868</v>
      </c>
      <c r="Q309" s="10" t="n">
        <f aca="false">LN(J309)</f>
        <v>10.4781949563756</v>
      </c>
      <c r="R309" s="10" t="n">
        <f aca="false">LN(M309)</f>
        <v>5.73632668256482</v>
      </c>
      <c r="S309" s="3" t="n">
        <v>0</v>
      </c>
      <c r="T309" s="3" t="s">
        <v>47</v>
      </c>
      <c r="U309" s="15" t="n">
        <v>0.08655556544</v>
      </c>
      <c r="V309" s="15" t="n">
        <v>0.08871499802</v>
      </c>
      <c r="W309" s="15" t="n">
        <v>0.089125760151</v>
      </c>
      <c r="X309" s="15" t="n">
        <v>0.086417414548</v>
      </c>
      <c r="Y309" s="15" t="n">
        <v>1.002883666634</v>
      </c>
    </row>
    <row r="310" customFormat="false" ht="15" hidden="false" customHeight="true" outlineLevel="0" collapsed="false">
      <c r="A310" s="3" t="s">
        <v>25</v>
      </c>
      <c r="B310" s="9" t="n">
        <v>44805</v>
      </c>
      <c r="C310" s="3" t="n">
        <v>2022</v>
      </c>
      <c r="D310" s="3" t="n">
        <v>9</v>
      </c>
      <c r="E310" s="3" t="n">
        <v>30</v>
      </c>
      <c r="F310" s="10" t="n">
        <f aca="false">Annual_Data!$C$23*U310</f>
        <v>7.866817381446</v>
      </c>
      <c r="G310" s="11" t="n">
        <f aca="false">Annual_Data!$D$23*V310</f>
        <v>0.561316429926</v>
      </c>
      <c r="H310" s="12" t="n">
        <f aca="false">Annual_Data!$E$22+(Annual_Data!$E$23-Annual_Data!$E$22)*D310/12</f>
        <v>62</v>
      </c>
      <c r="I310" s="13" t="n">
        <f aca="false">Annual_Data!$F$23*Y310</f>
        <v>3743.01339902097</v>
      </c>
      <c r="J310" s="13" t="n">
        <f aca="false">Annual_Data!$H$23*W310</f>
        <v>33525.3396338426</v>
      </c>
      <c r="K310" s="13" t="n">
        <f aca="false">Annual_Data!$I$23*X310</f>
        <v>33772.7584131851</v>
      </c>
      <c r="L310" s="12" t="n">
        <f aca="false">K310*0.0036</f>
        <v>121.581930287466</v>
      </c>
      <c r="M310" s="14" t="n">
        <f aca="false">K310/(I310*E310/1000)</f>
        <v>300.762645965225</v>
      </c>
      <c r="N310" s="10" t="n">
        <f aca="false">LN(F310)</f>
        <v>2.06265358183832</v>
      </c>
      <c r="O310" s="10" t="n">
        <f aca="false">LN(G310)</f>
        <v>-0.577470486259811</v>
      </c>
      <c r="P310" s="10" t="n">
        <f aca="false">LN(I310)</f>
        <v>8.22764628765249</v>
      </c>
      <c r="Q310" s="10" t="n">
        <f aca="false">LN(J310)</f>
        <v>10.420056838862</v>
      </c>
      <c r="R310" s="10" t="n">
        <f aca="false">LN(M310)</f>
        <v>5.70632140206797</v>
      </c>
      <c r="S310" s="3" t="n">
        <v>0</v>
      </c>
      <c r="T310" s="3" t="s">
        <v>47</v>
      </c>
      <c r="U310" s="15" t="n">
        <v>0.081101210118</v>
      </c>
      <c r="V310" s="15" t="n">
        <v>0.080188061418</v>
      </c>
      <c r="W310" s="15" t="n">
        <v>0.084091903515</v>
      </c>
      <c r="X310" s="15" t="n">
        <v>0.081054555348</v>
      </c>
      <c r="Y310" s="15" t="n">
        <v>1.001609151464</v>
      </c>
    </row>
    <row r="311" customFormat="false" ht="15" hidden="false" customHeight="true" outlineLevel="0" collapsed="false">
      <c r="A311" s="3" t="s">
        <v>25</v>
      </c>
      <c r="B311" s="9" t="n">
        <v>44835</v>
      </c>
      <c r="C311" s="3" t="n">
        <v>2022</v>
      </c>
      <c r="D311" s="3" t="n">
        <v>10</v>
      </c>
      <c r="E311" s="3" t="n">
        <v>31</v>
      </c>
      <c r="F311" s="10" t="n">
        <f aca="false">Annual_Data!$C$23*U311</f>
        <v>7.977278630748</v>
      </c>
      <c r="G311" s="11" t="n">
        <f aca="false">Annual_Data!$D$23*V311</f>
        <v>0.569251428879</v>
      </c>
      <c r="H311" s="12" t="n">
        <f aca="false">Annual_Data!$E$22+(Annual_Data!$E$23-Annual_Data!$E$22)*D311/12</f>
        <v>62</v>
      </c>
      <c r="I311" s="13" t="n">
        <f aca="false">Annual_Data!$F$23*Y311</f>
        <v>3740.78453792109</v>
      </c>
      <c r="J311" s="13" t="n">
        <f aca="false">Annual_Data!$H$23*W311</f>
        <v>35406.5861985205</v>
      </c>
      <c r="K311" s="13" t="n">
        <f aca="false">Annual_Data!$I$23*X311</f>
        <v>34854.9009001484</v>
      </c>
      <c r="L311" s="12" t="n">
        <f aca="false">K311*0.0036</f>
        <v>125.477643240534</v>
      </c>
      <c r="M311" s="14" t="n">
        <f aca="false">K311/(I311*E311/1000)</f>
        <v>300.565731744903</v>
      </c>
      <c r="N311" s="10" t="n">
        <f aca="false">LN(F311)</f>
        <v>2.07659732958412</v>
      </c>
      <c r="O311" s="10" t="n">
        <f aca="false">LN(G311)</f>
        <v>-0.563433063933401</v>
      </c>
      <c r="P311" s="10" t="n">
        <f aca="false">LN(I311)</f>
        <v>8.22705063790765</v>
      </c>
      <c r="Q311" s="10" t="n">
        <f aca="false">LN(J311)</f>
        <v>10.4746531326222</v>
      </c>
      <c r="R311" s="10" t="n">
        <f aca="false">LN(M311)</f>
        <v>5.70566647130248</v>
      </c>
      <c r="S311" s="3" t="n">
        <v>0</v>
      </c>
      <c r="T311" s="3" t="s">
        <v>47</v>
      </c>
      <c r="U311" s="15" t="n">
        <v>0.082239985884</v>
      </c>
      <c r="V311" s="15" t="n">
        <v>0.081321632697</v>
      </c>
      <c r="W311" s="15" t="n">
        <v>0.088810650777</v>
      </c>
      <c r="X311" s="15" t="n">
        <v>0.083651695239</v>
      </c>
      <c r="Y311" s="15" t="n">
        <v>1.001012720878</v>
      </c>
    </row>
    <row r="312" customFormat="false" ht="15" hidden="false" customHeight="true" outlineLevel="0" collapsed="false">
      <c r="A312" s="3" t="s">
        <v>25</v>
      </c>
      <c r="B312" s="9" t="n">
        <v>44866</v>
      </c>
      <c r="C312" s="3" t="n">
        <v>2022</v>
      </c>
      <c r="D312" s="3" t="n">
        <v>11</v>
      </c>
      <c r="E312" s="3" t="n">
        <v>30</v>
      </c>
      <c r="F312" s="10" t="n">
        <f aca="false">Annual_Data!$C$23*U312</f>
        <v>8.109684357569</v>
      </c>
      <c r="G312" s="11" t="n">
        <f aca="false">Annual_Data!$D$23*V312</f>
        <v>0.559093478048</v>
      </c>
      <c r="H312" s="12" t="n">
        <f aca="false">Annual_Data!$E$22+(Annual_Data!$E$23-Annual_Data!$E$22)*D312/12</f>
        <v>62</v>
      </c>
      <c r="I312" s="13" t="n">
        <f aca="false">Annual_Data!$F$23*Y312</f>
        <v>3766.35139047993</v>
      </c>
      <c r="J312" s="13" t="n">
        <f aca="false">Annual_Data!$H$23*W312</f>
        <v>33352.259206223</v>
      </c>
      <c r="K312" s="13" t="n">
        <f aca="false">Annual_Data!$I$23*X312</f>
        <v>35637.9047611343</v>
      </c>
      <c r="L312" s="12" t="n">
        <f aca="false">K312*0.0036</f>
        <v>128.296457140084</v>
      </c>
      <c r="M312" s="14" t="n">
        <f aca="false">K312/(I312*E312/1000)</f>
        <v>315.406088159263</v>
      </c>
      <c r="N312" s="10" t="n">
        <f aca="false">LN(F312)</f>
        <v>2.09305894721813</v>
      </c>
      <c r="O312" s="10" t="n">
        <f aca="false">LN(G312)</f>
        <v>-0.581438596107899</v>
      </c>
      <c r="P312" s="10" t="n">
        <f aca="false">LN(I312)</f>
        <v>8.23386201088665</v>
      </c>
      <c r="Q312" s="10" t="n">
        <f aca="false">LN(J312)</f>
        <v>10.4148807913649</v>
      </c>
      <c r="R312" s="10" t="n">
        <f aca="false">LN(M312)</f>
        <v>5.75386097732064</v>
      </c>
      <c r="S312" s="3" t="n">
        <v>0</v>
      </c>
      <c r="T312" s="3" t="s">
        <v>47</v>
      </c>
      <c r="U312" s="15" t="n">
        <v>0.083604993377</v>
      </c>
      <c r="V312" s="15" t="n">
        <v>0.079870496864</v>
      </c>
      <c r="W312" s="15" t="n">
        <v>0.08365776436</v>
      </c>
      <c r="X312" s="15" t="n">
        <v>0.085530903002</v>
      </c>
      <c r="Y312" s="15" t="n">
        <v>1.007854265582</v>
      </c>
    </row>
    <row r="313" customFormat="false" ht="15" hidden="false" customHeight="true" outlineLevel="0" collapsed="false">
      <c r="A313" s="3" t="s">
        <v>25</v>
      </c>
      <c r="B313" s="9" t="n">
        <v>44896</v>
      </c>
      <c r="C313" s="3" t="n">
        <v>2022</v>
      </c>
      <c r="D313" s="3" t="n">
        <v>12</v>
      </c>
      <c r="E313" s="3" t="n">
        <v>31</v>
      </c>
      <c r="F313" s="10" t="n">
        <f aca="false">Annual_Data!$C$23*U313</f>
        <v>8.468646661445</v>
      </c>
      <c r="G313" s="11" t="n">
        <f aca="false">Annual_Data!$D$23*V313</f>
        <v>0.604005678248</v>
      </c>
      <c r="H313" s="12" t="n">
        <f aca="false">Annual_Data!$E$22+(Annual_Data!$E$23-Annual_Data!$E$22)*D313/12</f>
        <v>62</v>
      </c>
      <c r="I313" s="13" t="n">
        <f aca="false">Annual_Data!$F$23*Y313</f>
        <v>3687.03619684738</v>
      </c>
      <c r="J313" s="13" t="n">
        <f aca="false">Annual_Data!$H$23*W313</f>
        <v>33607.2165061106</v>
      </c>
      <c r="K313" s="13" t="n">
        <f aca="false">Annual_Data!$I$23*X313</f>
        <v>37160.7850336043</v>
      </c>
      <c r="L313" s="12" t="n">
        <f aca="false">K313*0.0036</f>
        <v>133.778826120975</v>
      </c>
      <c r="M313" s="14" t="n">
        <f aca="false">K313/(I313*E313/1000)</f>
        <v>325.12157111693</v>
      </c>
      <c r="N313" s="10" t="n">
        <f aca="false">LN(F313)</f>
        <v>2.13637071566693</v>
      </c>
      <c r="O313" s="10" t="n">
        <f aca="false">LN(G313)</f>
        <v>-0.504171680018664</v>
      </c>
      <c r="P313" s="10" t="n">
        <f aca="false">LN(I313)</f>
        <v>8.21257821561133</v>
      </c>
      <c r="Q313" s="10" t="n">
        <f aca="false">LN(J313)</f>
        <v>10.4224960998576</v>
      </c>
      <c r="R313" s="10" t="n">
        <f aca="false">LN(M313)</f>
        <v>5.78419917736005</v>
      </c>
      <c r="S313" s="3" t="n">
        <v>0</v>
      </c>
      <c r="T313" s="3" t="s">
        <v>47</v>
      </c>
      <c r="U313" s="15" t="n">
        <v>0.087305635685</v>
      </c>
      <c r="V313" s="15" t="n">
        <v>0.086286525464</v>
      </c>
      <c r="W313" s="15" t="n">
        <v>0.084297275992</v>
      </c>
      <c r="X313" s="15" t="n">
        <v>0.089185812732</v>
      </c>
      <c r="Y313" s="15" t="n">
        <v>0.986629969721</v>
      </c>
    </row>
    <row r="314" customFormat="false" ht="15" hidden="false" customHeight="true" outlineLevel="0" collapsed="false">
      <c r="A314" s="3" t="s">
        <v>25</v>
      </c>
      <c r="B314" s="9" t="n">
        <v>44927</v>
      </c>
      <c r="C314" s="3" t="n">
        <v>2023</v>
      </c>
      <c r="D314" s="3" t="n">
        <v>1</v>
      </c>
      <c r="E314" s="3" t="n">
        <v>31</v>
      </c>
      <c r="F314" s="10" t="n">
        <f aca="false">Annual_Data!$C$24*U314</f>
        <v>8.339428493439</v>
      </c>
      <c r="G314" s="11" t="n">
        <f aca="false">Annual_Data!$D$24*V314</f>
        <v>0.589808330482</v>
      </c>
      <c r="H314" s="12" t="n">
        <f aca="false">Annual_Data!$E$23+(Annual_Data!$E$24-Annual_Data!$E$23)*D314/12</f>
        <v>62</v>
      </c>
      <c r="I314" s="13" t="n">
        <f aca="false">Annual_Data!$F$24*Y314</f>
        <v>3709.41367330414</v>
      </c>
      <c r="J314" s="13" t="n">
        <f aca="false">Annual_Data!$H$24*W314</f>
        <v>32197.9963371889</v>
      </c>
      <c r="K314" s="13" t="n">
        <f aca="false">Annual_Data!$I$24*X314</f>
        <v>37179.3742588923</v>
      </c>
      <c r="L314" s="12" t="n">
        <f aca="false">K314*0.0036</f>
        <v>133.845747332012</v>
      </c>
      <c r="M314" s="14" t="n">
        <f aca="false">K314/(I314*E314/1000)</f>
        <v>323.321893738628</v>
      </c>
      <c r="N314" s="10" t="n">
        <f aca="false">LN(F314)</f>
        <v>2.1209946880561</v>
      </c>
      <c r="O314" s="10" t="n">
        <f aca="false">LN(G314)</f>
        <v>-0.52795765845181</v>
      </c>
      <c r="P314" s="10" t="n">
        <f aca="false">LN(I314)</f>
        <v>8.21862910357125</v>
      </c>
      <c r="Q314" s="10" t="n">
        <f aca="false">LN(J314)</f>
        <v>10.3796595040433</v>
      </c>
      <c r="R314" s="10" t="n">
        <f aca="false">LN(M314)</f>
        <v>5.77864840201362</v>
      </c>
      <c r="S314" s="3" t="n">
        <v>0</v>
      </c>
      <c r="T314" s="3" t="s">
        <v>47</v>
      </c>
      <c r="U314" s="15" t="n">
        <v>0.089671274123</v>
      </c>
      <c r="V314" s="15" t="n">
        <v>0.084258332926</v>
      </c>
      <c r="W314" s="15" t="n">
        <v>0.09620043304</v>
      </c>
      <c r="X314" s="15" t="n">
        <v>0.089230426837</v>
      </c>
      <c r="Y314" s="15" t="n">
        <v>0.992352507572</v>
      </c>
    </row>
    <row r="315" customFormat="false" ht="15" hidden="false" customHeight="true" outlineLevel="0" collapsed="false">
      <c r="A315" s="3" t="s">
        <v>25</v>
      </c>
      <c r="B315" s="9" t="n">
        <v>44958</v>
      </c>
      <c r="C315" s="3" t="n">
        <v>2023</v>
      </c>
      <c r="D315" s="3" t="n">
        <v>2</v>
      </c>
      <c r="E315" s="3" t="n">
        <v>28</v>
      </c>
      <c r="F315" s="10" t="n">
        <f aca="false">Annual_Data!$C$24*U315</f>
        <v>7.315807382988</v>
      </c>
      <c r="G315" s="11" t="n">
        <f aca="false">Annual_Data!$D$24*V315</f>
        <v>0.529989598397</v>
      </c>
      <c r="H315" s="12" t="n">
        <f aca="false">Annual_Data!$E$23+(Annual_Data!$E$24-Annual_Data!$E$23)*D315/12</f>
        <v>62</v>
      </c>
      <c r="I315" s="13" t="n">
        <f aca="false">Annual_Data!$F$24*Y315</f>
        <v>3690.84978675928</v>
      </c>
      <c r="J315" s="13" t="n">
        <f aca="false">Annual_Data!$H$24*W315</f>
        <v>27524.5529841479</v>
      </c>
      <c r="K315" s="13" t="n">
        <f aca="false">Annual_Data!$I$24*X315</f>
        <v>32620.5445018314</v>
      </c>
      <c r="L315" s="12" t="n">
        <f aca="false">K315*0.0036</f>
        <v>117.433960206593</v>
      </c>
      <c r="M315" s="14" t="n">
        <f aca="false">K315/(I315*E315/1000)</f>
        <v>315.650734601397</v>
      </c>
      <c r="N315" s="10" t="n">
        <f aca="false">LN(F315)</f>
        <v>1.99003740199559</v>
      </c>
      <c r="O315" s="10" t="n">
        <f aca="false">LN(G315)</f>
        <v>-0.634897898294593</v>
      </c>
      <c r="P315" s="10" t="n">
        <f aca="false">LN(I315)</f>
        <v>8.21361200503557</v>
      </c>
      <c r="Q315" s="10" t="n">
        <f aca="false">LN(J315)</f>
        <v>10.2228337211011</v>
      </c>
      <c r="R315" s="10" t="n">
        <f aca="false">LN(M315)</f>
        <v>5.75463633207656</v>
      </c>
      <c r="S315" s="3" t="n">
        <v>0</v>
      </c>
      <c r="T315" s="3" t="s">
        <v>47</v>
      </c>
      <c r="U315" s="15" t="n">
        <v>0.078664595516</v>
      </c>
      <c r="V315" s="15" t="n">
        <v>0.075712799771</v>
      </c>
      <c r="W315" s="15" t="n">
        <v>0.082237226459</v>
      </c>
      <c r="X315" s="15" t="n">
        <v>0.078289244173</v>
      </c>
      <c r="Y315" s="15" t="n">
        <v>0.987386245789</v>
      </c>
    </row>
    <row r="316" customFormat="false" ht="15" hidden="false" customHeight="true" outlineLevel="0" collapsed="false">
      <c r="A316" s="3" t="s">
        <v>25</v>
      </c>
      <c r="B316" s="9" t="n">
        <v>44986</v>
      </c>
      <c r="C316" s="3" t="n">
        <v>2023</v>
      </c>
      <c r="D316" s="3" t="n">
        <v>3</v>
      </c>
      <c r="E316" s="3" t="n">
        <v>31</v>
      </c>
      <c r="F316" s="10" t="n">
        <f aca="false">Annual_Data!$C$24*U316</f>
        <v>8.165329419324</v>
      </c>
      <c r="G316" s="11" t="n">
        <f aca="false">Annual_Data!$D$24*V316</f>
        <v>0.567686573937</v>
      </c>
      <c r="H316" s="12" t="n">
        <f aca="false">Annual_Data!$E$23+(Annual_Data!$E$24-Annual_Data!$E$23)*D316/12</f>
        <v>62</v>
      </c>
      <c r="I316" s="13" t="n">
        <f aca="false">Annual_Data!$F$24*Y316</f>
        <v>3688.66468093523</v>
      </c>
      <c r="J316" s="13" t="n">
        <f aca="false">Annual_Data!$H$24*W316</f>
        <v>29684.9794633541</v>
      </c>
      <c r="K316" s="13" t="n">
        <f aca="false">Annual_Data!$I$24*X316</f>
        <v>36177.8299180741</v>
      </c>
      <c r="L316" s="12" t="n">
        <f aca="false">K316*0.0036</f>
        <v>130.240187705067</v>
      </c>
      <c r="M316" s="14" t="n">
        <f aca="false">K316/(I316*E316/1000)</f>
        <v>316.381908494563</v>
      </c>
      <c r="N316" s="10" t="n">
        <f aca="false">LN(F316)</f>
        <v>2.09989707090239</v>
      </c>
      <c r="O316" s="10" t="n">
        <f aca="false">LN(G316)</f>
        <v>-0.566185819011138</v>
      </c>
      <c r="P316" s="10" t="n">
        <f aca="false">LN(I316)</f>
        <v>8.21301979645668</v>
      </c>
      <c r="Q316" s="10" t="n">
        <f aca="false">LN(J316)</f>
        <v>10.2983964548856</v>
      </c>
      <c r="R316" s="10" t="n">
        <f aca="false">LN(M316)</f>
        <v>5.75695005503798</v>
      </c>
      <c r="S316" s="3" t="n">
        <v>0</v>
      </c>
      <c r="T316" s="3" t="s">
        <v>47</v>
      </c>
      <c r="U316" s="15" t="n">
        <v>0.087799241068</v>
      </c>
      <c r="V316" s="15" t="n">
        <v>0.081098081991</v>
      </c>
      <c r="W316" s="15" t="n">
        <v>0.088692099013</v>
      </c>
      <c r="X316" s="15" t="n">
        <v>0.086826722342</v>
      </c>
      <c r="Y316" s="15" t="n">
        <v>0.986801680293</v>
      </c>
    </row>
    <row r="317" customFormat="false" ht="15" hidden="false" customHeight="true" outlineLevel="0" collapsed="false">
      <c r="A317" s="3" t="s">
        <v>25</v>
      </c>
      <c r="B317" s="9" t="n">
        <v>45017</v>
      </c>
      <c r="C317" s="3" t="n">
        <v>2023</v>
      </c>
      <c r="D317" s="3" t="n">
        <v>4</v>
      </c>
      <c r="E317" s="3" t="n">
        <v>30</v>
      </c>
      <c r="F317" s="10" t="n">
        <f aca="false">Annual_Data!$C$24*U317</f>
        <v>7.44734582448</v>
      </c>
      <c r="G317" s="11" t="n">
        <f aca="false">Annual_Data!$D$24*V317</f>
        <v>0.545594488712</v>
      </c>
      <c r="H317" s="12" t="n">
        <f aca="false">Annual_Data!$E$23+(Annual_Data!$E$24-Annual_Data!$E$23)*D317/12</f>
        <v>62</v>
      </c>
      <c r="I317" s="13" t="n">
        <f aca="false">Annual_Data!$F$24*Y317</f>
        <v>3607.60967396659</v>
      </c>
      <c r="J317" s="13" t="n">
        <f aca="false">Annual_Data!$H$24*W317</f>
        <v>27910.3212447479</v>
      </c>
      <c r="K317" s="13" t="n">
        <f aca="false">Annual_Data!$I$24*X317</f>
        <v>34033.1313998167</v>
      </c>
      <c r="L317" s="12" t="n">
        <f aca="false">K317*0.0036</f>
        <v>122.51927303934</v>
      </c>
      <c r="M317" s="14" t="n">
        <f aca="false">K317/(I317*E317/1000)</f>
        <v>314.456888591248</v>
      </c>
      <c r="N317" s="10" t="n">
        <f aca="false">LN(F317)</f>
        <v>2.00785770374349</v>
      </c>
      <c r="O317" s="10" t="n">
        <f aca="false">LN(G317)</f>
        <v>-0.605879273838214</v>
      </c>
      <c r="P317" s="10" t="n">
        <f aca="false">LN(I317)</f>
        <v>8.19080069183985</v>
      </c>
      <c r="Q317" s="10" t="n">
        <f aca="false">LN(J317)</f>
        <v>10.2367518364873</v>
      </c>
      <c r="R317" s="10" t="n">
        <f aca="false">LN(M317)</f>
        <v>5.75084698754317</v>
      </c>
      <c r="S317" s="3" t="n">
        <v>0</v>
      </c>
      <c r="T317" s="3" t="s">
        <v>47</v>
      </c>
      <c r="U317" s="15" t="n">
        <v>0.08007898736</v>
      </c>
      <c r="V317" s="15" t="n">
        <v>0.077942069816</v>
      </c>
      <c r="W317" s="15" t="n">
        <v>0.083389815997</v>
      </c>
      <c r="X317" s="15" t="n">
        <v>0.081679450016</v>
      </c>
      <c r="Y317" s="15" t="n">
        <v>0.965117622784</v>
      </c>
    </row>
    <row r="318" customFormat="false" ht="15" hidden="false" customHeight="true" outlineLevel="0" collapsed="false">
      <c r="A318" s="3" t="s">
        <v>25</v>
      </c>
      <c r="B318" s="9" t="n">
        <v>45047</v>
      </c>
      <c r="C318" s="3" t="n">
        <v>2023</v>
      </c>
      <c r="D318" s="3" t="n">
        <v>5</v>
      </c>
      <c r="E318" s="3" t="n">
        <v>31</v>
      </c>
      <c r="F318" s="10" t="n">
        <f aca="false">Annual_Data!$C$24*U318</f>
        <v>7.611911645667</v>
      </c>
      <c r="G318" s="11" t="n">
        <f aca="false">Annual_Data!$D$24*V318</f>
        <v>0.578703283466</v>
      </c>
      <c r="H318" s="12" t="n">
        <f aca="false">Annual_Data!$E$23+(Annual_Data!$E$24-Annual_Data!$E$23)*D318/12</f>
        <v>62</v>
      </c>
      <c r="I318" s="13" t="n">
        <f aca="false">Annual_Data!$F$24*Y318</f>
        <v>3657.61786216533</v>
      </c>
      <c r="J318" s="13" t="n">
        <f aca="false">Annual_Data!$H$24*W318</f>
        <v>27990.5567183649</v>
      </c>
      <c r="K318" s="13" t="n">
        <f aca="false">Annual_Data!$I$24*X318</f>
        <v>34688.8980877629</v>
      </c>
      <c r="L318" s="12" t="n">
        <f aca="false">K318*0.0036</f>
        <v>124.880033115947</v>
      </c>
      <c r="M318" s="14" t="n">
        <f aca="false">K318/(I318*E318/1000)</f>
        <v>305.935927337699</v>
      </c>
      <c r="N318" s="10" t="n">
        <f aca="false">LN(F318)</f>
        <v>2.02971434212363</v>
      </c>
      <c r="O318" s="10" t="n">
        <f aca="false">LN(G318)</f>
        <v>-0.54696539655288</v>
      </c>
      <c r="P318" s="10" t="n">
        <f aca="false">LN(I318)</f>
        <v>8.20456735716395</v>
      </c>
      <c r="Q318" s="10" t="n">
        <f aca="false">LN(J318)</f>
        <v>10.239622472214</v>
      </c>
      <c r="R318" s="10" t="n">
        <f aca="false">LN(M318)</f>
        <v>5.7233756922424</v>
      </c>
      <c r="S318" s="3" t="n">
        <v>0</v>
      </c>
      <c r="T318" s="3" t="s">
        <v>47</v>
      </c>
      <c r="U318" s="15" t="n">
        <v>0.081848512319</v>
      </c>
      <c r="V318" s="15" t="n">
        <v>0.082671897638</v>
      </c>
      <c r="W318" s="15" t="n">
        <v>0.0836295417</v>
      </c>
      <c r="X318" s="15" t="n">
        <v>0.083253288808</v>
      </c>
      <c r="Y318" s="15" t="n">
        <v>0.978495950285</v>
      </c>
    </row>
    <row r="319" customFormat="false" ht="15" hidden="false" customHeight="true" outlineLevel="0" collapsed="false">
      <c r="A319" s="3" t="s">
        <v>25</v>
      </c>
      <c r="B319" s="9" t="n">
        <v>45078</v>
      </c>
      <c r="C319" s="3" t="n">
        <v>2023</v>
      </c>
      <c r="D319" s="3" t="n">
        <v>6</v>
      </c>
      <c r="E319" s="3" t="n">
        <v>30</v>
      </c>
      <c r="F319" s="10" t="n">
        <f aca="false">Annual_Data!$C$24*U319</f>
        <v>7.553016075939</v>
      </c>
      <c r="G319" s="11" t="n">
        <f aca="false">Annual_Data!$D$24*V319</f>
        <v>0.578933485641</v>
      </c>
      <c r="H319" s="12" t="n">
        <f aca="false">Annual_Data!$E$23+(Annual_Data!$E$24-Annual_Data!$E$23)*D319/12</f>
        <v>62</v>
      </c>
      <c r="I319" s="13" t="n">
        <f aca="false">Annual_Data!$F$24*Y319</f>
        <v>3661.44298609375</v>
      </c>
      <c r="J319" s="13" t="n">
        <f aca="false">Annual_Data!$H$24*W319</f>
        <v>27375.5764144899</v>
      </c>
      <c r="K319" s="13" t="n">
        <f aca="false">Annual_Data!$I$24*X319</f>
        <v>33962.2868673078</v>
      </c>
      <c r="L319" s="12" t="n">
        <f aca="false">K319*0.0036</f>
        <v>122.264232722308</v>
      </c>
      <c r="M319" s="14" t="n">
        <f aca="false">K319/(I319*E319/1000)</f>
        <v>309.188544846912</v>
      </c>
      <c r="N319" s="10" t="n">
        <f aca="false">LN(F319)</f>
        <v>2.02194696374676</v>
      </c>
      <c r="O319" s="10" t="n">
        <f aca="false">LN(G319)</f>
        <v>-0.546567686002943</v>
      </c>
      <c r="P319" s="10" t="n">
        <f aca="false">LN(I319)</f>
        <v>8.20561260719151</v>
      </c>
      <c r="Q319" s="10" t="n">
        <f aca="false">LN(J319)</f>
        <v>10.2174065231342</v>
      </c>
      <c r="R319" s="10" t="n">
        <f aca="false">LN(M319)</f>
        <v>5.73395126831325</v>
      </c>
      <c r="S319" s="3" t="n">
        <v>0</v>
      </c>
      <c r="T319" s="3" t="s">
        <v>47</v>
      </c>
      <c r="U319" s="15" t="n">
        <v>0.081215226623</v>
      </c>
      <c r="V319" s="15" t="n">
        <v>0.082704783663</v>
      </c>
      <c r="W319" s="15" t="n">
        <v>0.08179211769</v>
      </c>
      <c r="X319" s="15" t="n">
        <v>0.081509423274</v>
      </c>
      <c r="Y319" s="15" t="n">
        <v>0.979519257917</v>
      </c>
    </row>
    <row r="320" customFormat="false" ht="15" hidden="false" customHeight="true" outlineLevel="0" collapsed="false">
      <c r="A320" s="3" t="s">
        <v>25</v>
      </c>
      <c r="B320" s="9" t="n">
        <v>45108</v>
      </c>
      <c r="C320" s="3" t="n">
        <v>2023</v>
      </c>
      <c r="D320" s="3" t="n">
        <v>7</v>
      </c>
      <c r="E320" s="3" t="n">
        <v>31</v>
      </c>
      <c r="F320" s="10" t="n">
        <f aca="false">Annual_Data!$C$24*U320</f>
        <v>7.902060238101</v>
      </c>
      <c r="G320" s="11" t="n">
        <f aca="false">Annual_Data!$D$24*V320</f>
        <v>0.623972551552</v>
      </c>
      <c r="H320" s="12" t="n">
        <f aca="false">Annual_Data!$E$23+(Annual_Data!$E$24-Annual_Data!$E$23)*D320/12</f>
        <v>62</v>
      </c>
      <c r="I320" s="13" t="n">
        <f aca="false">Annual_Data!$F$24*Y320</f>
        <v>3678.95480825859</v>
      </c>
      <c r="J320" s="13" t="n">
        <f aca="false">Annual_Data!$H$24*W320</f>
        <v>26875.4992963309</v>
      </c>
      <c r="K320" s="13" t="n">
        <f aca="false">Annual_Data!$I$24*X320</f>
        <v>35952.0392328584</v>
      </c>
      <c r="L320" s="12" t="n">
        <f aca="false">K320*0.0036</f>
        <v>129.42734123829</v>
      </c>
      <c r="M320" s="14" t="n">
        <f aca="false">K320/(I320*E320/1000)</f>
        <v>315.237142477677</v>
      </c>
      <c r="N320" s="10" t="n">
        <f aca="false">LN(F320)</f>
        <v>2.06712351510631</v>
      </c>
      <c r="O320" s="10" t="n">
        <f aca="false">LN(G320)</f>
        <v>-0.471648899477641</v>
      </c>
      <c r="P320" s="10" t="n">
        <f aca="false">LN(I320)</f>
        <v>8.21038397132685</v>
      </c>
      <c r="Q320" s="10" t="n">
        <f aca="false">LN(J320)</f>
        <v>10.1989703437255</v>
      </c>
      <c r="R320" s="10" t="n">
        <f aca="false">LN(M320)</f>
        <v>5.75332518885128</v>
      </c>
      <c r="S320" s="3" t="n">
        <v>0</v>
      </c>
      <c r="T320" s="3" t="s">
        <v>47</v>
      </c>
      <c r="U320" s="15" t="n">
        <v>0.084968389657</v>
      </c>
      <c r="V320" s="15" t="n">
        <v>0.089138935936</v>
      </c>
      <c r="W320" s="15" t="n">
        <v>0.080297998776</v>
      </c>
      <c r="X320" s="15" t="n">
        <v>0.086284825131</v>
      </c>
      <c r="Y320" s="15" t="n">
        <v>0.984204068555</v>
      </c>
    </row>
    <row r="321" customFormat="false" ht="15" hidden="false" customHeight="true" outlineLevel="0" collapsed="false">
      <c r="A321" s="3" t="s">
        <v>25</v>
      </c>
      <c r="B321" s="9" t="n">
        <v>45139</v>
      </c>
      <c r="C321" s="3" t="n">
        <v>2023</v>
      </c>
      <c r="D321" s="3" t="n">
        <v>8</v>
      </c>
      <c r="E321" s="3" t="n">
        <v>31</v>
      </c>
      <c r="F321" s="10" t="n">
        <f aca="false">Annual_Data!$C$24*U321</f>
        <v>7.907705667135</v>
      </c>
      <c r="G321" s="11" t="n">
        <f aca="false">Annual_Data!$D$24*V321</f>
        <v>0.633874527881</v>
      </c>
      <c r="H321" s="12" t="n">
        <f aca="false">Annual_Data!$E$23+(Annual_Data!$E$24-Annual_Data!$E$23)*D321/12</f>
        <v>62</v>
      </c>
      <c r="I321" s="13" t="n">
        <f aca="false">Annual_Data!$F$24*Y321</f>
        <v>3717.22336331191</v>
      </c>
      <c r="J321" s="13" t="n">
        <f aca="false">Annual_Data!$H$24*W321</f>
        <v>27372.0564536679</v>
      </c>
      <c r="K321" s="13" t="n">
        <f aca="false">Annual_Data!$I$24*X321</f>
        <v>35551.5859283293</v>
      </c>
      <c r="L321" s="12" t="n">
        <f aca="false">K321*0.0036</f>
        <v>127.985709341986</v>
      </c>
      <c r="M321" s="14" t="n">
        <f aca="false">K321/(I321*E321/1000)</f>
        <v>308.516664305309</v>
      </c>
      <c r="N321" s="10" t="n">
        <f aca="false">LN(F321)</f>
        <v>2.06783768498179</v>
      </c>
      <c r="O321" s="10" t="n">
        <f aca="false">LN(G321)</f>
        <v>-0.455904249681272</v>
      </c>
      <c r="P321" s="10" t="n">
        <f aca="false">LN(I321)</f>
        <v>8.22073226085441</v>
      </c>
      <c r="Q321" s="10" t="n">
        <f aca="false">LN(J321)</f>
        <v>10.2172779345307</v>
      </c>
      <c r="R321" s="10" t="n">
        <f aca="false">LN(M321)</f>
        <v>5.73177585908368</v>
      </c>
      <c r="S321" s="3" t="n">
        <v>0</v>
      </c>
      <c r="T321" s="3" t="s">
        <v>47</v>
      </c>
      <c r="U321" s="15" t="n">
        <v>0.085029093195</v>
      </c>
      <c r="V321" s="15" t="n">
        <v>0.090553503983</v>
      </c>
      <c r="W321" s="15" t="n">
        <v>0.081781600832</v>
      </c>
      <c r="X321" s="15" t="n">
        <v>0.085323737969</v>
      </c>
      <c r="Y321" s="15" t="n">
        <v>0.994441777237</v>
      </c>
    </row>
    <row r="322" customFormat="false" ht="15" hidden="false" customHeight="true" outlineLevel="0" collapsed="false">
      <c r="A322" s="3" t="s">
        <v>25</v>
      </c>
      <c r="B322" s="9" t="n">
        <v>45170</v>
      </c>
      <c r="C322" s="3" t="n">
        <v>2023</v>
      </c>
      <c r="D322" s="3" t="n">
        <v>9</v>
      </c>
      <c r="E322" s="3" t="n">
        <v>30</v>
      </c>
      <c r="F322" s="10" t="n">
        <f aca="false">Annual_Data!$C$24*U322</f>
        <v>7.484456362758</v>
      </c>
      <c r="G322" s="11" t="n">
        <f aca="false">Annual_Data!$D$24*V322</f>
        <v>0.591106712644</v>
      </c>
      <c r="H322" s="12" t="n">
        <f aca="false">Annual_Data!$E$23+(Annual_Data!$E$24-Annual_Data!$E$23)*D322/12</f>
        <v>62</v>
      </c>
      <c r="I322" s="13" t="n">
        <f aca="false">Annual_Data!$F$24*Y322</f>
        <v>3780.31360790488</v>
      </c>
      <c r="J322" s="13" t="n">
        <f aca="false">Annual_Data!$H$24*W322</f>
        <v>26901.3101168471</v>
      </c>
      <c r="K322" s="13" t="n">
        <f aca="false">Annual_Data!$I$24*X322</f>
        <v>33512.5118916547</v>
      </c>
      <c r="L322" s="12" t="n">
        <f aca="false">K322*0.0036</f>
        <v>120.645042809957</v>
      </c>
      <c r="M322" s="14" t="n">
        <f aca="false">K322/(I322*E322/1000)</f>
        <v>295.500280025956</v>
      </c>
      <c r="N322" s="10" t="n">
        <f aca="false">LN(F322)</f>
        <v>2.01282838500784</v>
      </c>
      <c r="O322" s="10" t="n">
        <f aca="false">LN(G322)</f>
        <v>-0.525758715026141</v>
      </c>
      <c r="P322" s="10" t="n">
        <f aca="false">LN(I322)</f>
        <v>8.23756225022642</v>
      </c>
      <c r="Q322" s="10" t="n">
        <f aca="false">LN(J322)</f>
        <v>10.1999302676325</v>
      </c>
      <c r="R322" s="10" t="n">
        <f aca="false">LN(M322)</f>
        <v>5.68866978448007</v>
      </c>
      <c r="S322" s="3" t="n">
        <v>0</v>
      </c>
      <c r="T322" s="3" t="s">
        <v>47</v>
      </c>
      <c r="U322" s="15" t="n">
        <v>0.080478025406</v>
      </c>
      <c r="V322" s="15" t="n">
        <v>0.084443816092</v>
      </c>
      <c r="W322" s="15" t="n">
        <v>0.080375115752</v>
      </c>
      <c r="X322" s="15" t="n">
        <v>0.080429964196</v>
      </c>
      <c r="Y322" s="15" t="n">
        <v>1.011319852302</v>
      </c>
    </row>
    <row r="323" customFormat="false" ht="15" hidden="false" customHeight="true" outlineLevel="0" collapsed="false">
      <c r="A323" s="3" t="s">
        <v>25</v>
      </c>
      <c r="B323" s="9" t="n">
        <v>45200</v>
      </c>
      <c r="C323" s="3" t="n">
        <v>2023</v>
      </c>
      <c r="D323" s="3" t="n">
        <v>10</v>
      </c>
      <c r="E323" s="3" t="n">
        <v>31</v>
      </c>
      <c r="F323" s="10" t="n">
        <f aca="false">Annual_Data!$C$24*U323</f>
        <v>7.599942990393</v>
      </c>
      <c r="G323" s="11" t="n">
        <f aca="false">Annual_Data!$D$24*V323</f>
        <v>0.568953807996</v>
      </c>
      <c r="H323" s="12" t="n">
        <f aca="false">Annual_Data!$E$23+(Annual_Data!$E$24-Annual_Data!$E$23)*D323/12</f>
        <v>62</v>
      </c>
      <c r="I323" s="13" t="n">
        <f aca="false">Annual_Data!$F$24*Y323</f>
        <v>3851.22198089857</v>
      </c>
      <c r="J323" s="13" t="n">
        <f aca="false">Annual_Data!$H$24*W323</f>
        <v>27375.6064937093</v>
      </c>
      <c r="K323" s="13" t="n">
        <f aca="false">Annual_Data!$I$24*X323</f>
        <v>33918.8065837736</v>
      </c>
      <c r="L323" s="12" t="n">
        <f aca="false">K323*0.0036</f>
        <v>122.107703701585</v>
      </c>
      <c r="M323" s="14" t="n">
        <f aca="false">K323/(I323*E323/1000)</f>
        <v>284.10594261154</v>
      </c>
      <c r="N323" s="10" t="n">
        <f aca="false">LN(F323)</f>
        <v>2.02814074600007</v>
      </c>
      <c r="O323" s="10" t="n">
        <f aca="false">LN(G323)</f>
        <v>-0.563956029177526</v>
      </c>
      <c r="P323" s="10" t="n">
        <f aca="false">LN(I323)</f>
        <v>8.25614577455785</v>
      </c>
      <c r="Q323" s="10" t="n">
        <f aca="false">LN(J323)</f>
        <v>10.2174076218947</v>
      </c>
      <c r="R323" s="10" t="n">
        <f aca="false">LN(M323)</f>
        <v>5.64934720596464</v>
      </c>
      <c r="S323" s="3" t="n">
        <v>0</v>
      </c>
      <c r="T323" s="3" t="s">
        <v>47</v>
      </c>
      <c r="U323" s="15" t="n">
        <v>0.081719817101</v>
      </c>
      <c r="V323" s="15" t="n">
        <v>0.081279115428</v>
      </c>
      <c r="W323" s="15" t="n">
        <v>0.08179220756</v>
      </c>
      <c r="X323" s="15" t="n">
        <v>0.081405070677</v>
      </c>
      <c r="Y323" s="15" t="n">
        <v>1.030289454494</v>
      </c>
    </row>
    <row r="324" customFormat="false" ht="15" hidden="false" customHeight="true" outlineLevel="0" collapsed="false">
      <c r="A324" s="3" t="s">
        <v>25</v>
      </c>
      <c r="B324" s="9" t="n">
        <v>45231</v>
      </c>
      <c r="C324" s="3" t="n">
        <v>2023</v>
      </c>
      <c r="D324" s="3" t="n">
        <v>11</v>
      </c>
      <c r="E324" s="3" t="n">
        <v>30</v>
      </c>
      <c r="F324" s="10" t="n">
        <f aca="false">Annual_Data!$C$24*U324</f>
        <v>7.635418658235</v>
      </c>
      <c r="G324" s="11" t="n">
        <f aca="false">Annual_Data!$D$24*V324</f>
        <v>0.557351359222</v>
      </c>
      <c r="H324" s="12" t="n">
        <f aca="false">Annual_Data!$E$23+(Annual_Data!$E$24-Annual_Data!$E$23)*D324/12</f>
        <v>62</v>
      </c>
      <c r="I324" s="13" t="n">
        <f aca="false">Annual_Data!$F$24*Y324</f>
        <v>3837.57753635626</v>
      </c>
      <c r="J324" s="13" t="n">
        <f aca="false">Annual_Data!$H$24*W324</f>
        <v>26185.0537195532</v>
      </c>
      <c r="K324" s="13" t="n">
        <f aca="false">Annual_Data!$I$24*X324</f>
        <v>33525.0503983522</v>
      </c>
      <c r="L324" s="12" t="n">
        <f aca="false">K324*0.0036</f>
        <v>120.690181434068</v>
      </c>
      <c r="M324" s="14" t="n">
        <f aca="false">K324/(I324*E324/1000)</f>
        <v>291.199765830955</v>
      </c>
      <c r="N324" s="10" t="n">
        <f aca="false">LN(F324)</f>
        <v>2.03279777125174</v>
      </c>
      <c r="O324" s="10" t="n">
        <f aca="false">LN(G324)</f>
        <v>-0.584559431426952</v>
      </c>
      <c r="P324" s="10" t="n">
        <f aca="false">LN(I324)</f>
        <v>8.25259659660502</v>
      </c>
      <c r="Q324" s="10" t="n">
        <f aca="false">LN(J324)</f>
        <v>10.1729440582507</v>
      </c>
      <c r="R324" s="10" t="n">
        <f aca="false">LN(M324)</f>
        <v>5.67400951217027</v>
      </c>
      <c r="S324" s="3" t="n">
        <v>0</v>
      </c>
      <c r="T324" s="3" t="s">
        <v>47</v>
      </c>
      <c r="U324" s="15" t="n">
        <v>0.082101275895</v>
      </c>
      <c r="V324" s="15" t="n">
        <v>0.079621622746</v>
      </c>
      <c r="W324" s="15" t="n">
        <v>0.078235101359</v>
      </c>
      <c r="X324" s="15" t="n">
        <v>0.080460056588</v>
      </c>
      <c r="Y324" s="15" t="n">
        <v>1.026639255312</v>
      </c>
    </row>
    <row r="325" customFormat="false" ht="15" hidden="false" customHeight="true" outlineLevel="0" collapsed="false">
      <c r="A325" s="3" t="s">
        <v>25</v>
      </c>
      <c r="B325" s="9" t="n">
        <v>45261</v>
      </c>
      <c r="C325" s="3" t="n">
        <v>2023</v>
      </c>
      <c r="D325" s="3" t="n">
        <v>12</v>
      </c>
      <c r="E325" s="3" t="n">
        <v>31</v>
      </c>
      <c r="F325" s="10" t="n">
        <f aca="false">Annual_Data!$C$24*U325</f>
        <v>8.037577241448</v>
      </c>
      <c r="G325" s="11" t="n">
        <f aca="false">Annual_Data!$D$24*V325</f>
        <v>0.634025280056</v>
      </c>
      <c r="H325" s="12" t="n">
        <f aca="false">Annual_Data!$E$23+(Annual_Data!$E$24-Annual_Data!$E$23)*D325/12</f>
        <v>62</v>
      </c>
      <c r="I325" s="13" t="n">
        <f aca="false">Annual_Data!$F$24*Y325</f>
        <v>3968.44852922297</v>
      </c>
      <c r="J325" s="13" t="n">
        <f aca="false">Annual_Data!$H$24*W325</f>
        <v>27303.4907582673</v>
      </c>
      <c r="K325" s="13" t="n">
        <f aca="false">Annual_Data!$I$24*X325</f>
        <v>35544.9409317633</v>
      </c>
      <c r="L325" s="12" t="n">
        <f aca="false">K325*0.0036</f>
        <v>127.961787354348</v>
      </c>
      <c r="M325" s="14" t="n">
        <f aca="false">K325/(I325*E325/1000)</f>
        <v>288.931805302594</v>
      </c>
      <c r="N325" s="10" t="n">
        <f aca="false">LN(F325)</f>
        <v>2.08412769965106</v>
      </c>
      <c r="O325" s="10" t="n">
        <f aca="false">LN(G325)</f>
        <v>-0.455666451434491</v>
      </c>
      <c r="P325" s="10" t="n">
        <f aca="false">LN(I325)</f>
        <v>8.28613049861514</v>
      </c>
      <c r="Q325" s="10" t="n">
        <f aca="false">LN(J325)</f>
        <v>10.214769839602</v>
      </c>
      <c r="R325" s="10" t="n">
        <f aca="false">LN(M325)</f>
        <v>5.66619069245656</v>
      </c>
      <c r="S325" s="3" t="n">
        <v>0</v>
      </c>
      <c r="T325" s="3" t="s">
        <v>47</v>
      </c>
      <c r="U325" s="15" t="n">
        <v>0.086425561736</v>
      </c>
      <c r="V325" s="15" t="n">
        <v>0.090575040008</v>
      </c>
      <c r="W325" s="15" t="n">
        <v>0.081576741824</v>
      </c>
      <c r="X325" s="15" t="n">
        <v>0.08530778999</v>
      </c>
      <c r="Y325" s="15" t="n">
        <v>1.061650221836</v>
      </c>
    </row>
    <row r="326" customFormat="false" ht="15" hidden="false" customHeight="true" outlineLevel="0" collapsed="false">
      <c r="A326" s="3" t="s">
        <v>25</v>
      </c>
      <c r="B326" s="9" t="n">
        <v>45292</v>
      </c>
      <c r="C326" s="3" t="n">
        <v>2024</v>
      </c>
      <c r="D326" s="3" t="n">
        <v>1</v>
      </c>
      <c r="E326" s="3" t="n">
        <v>31</v>
      </c>
      <c r="F326" s="10" t="n">
        <f aca="false">Annual_Data!$C$25*U326</f>
        <v>8.0508866868</v>
      </c>
      <c r="G326" s="11" t="n">
        <f aca="false">Annual_Data!$D$25*V326</f>
        <v>0.676334763248</v>
      </c>
      <c r="H326" s="12" t="n">
        <f aca="false">Annual_Data!$E$24+(Annual_Data!$E$25-Annual_Data!$E$24)*D326/12</f>
        <v>61.9166666666667</v>
      </c>
      <c r="I326" s="13" t="n">
        <f aca="false">Annual_Data!$F$25*Y326</f>
        <v>4045.5382699402</v>
      </c>
      <c r="J326" s="13" t="n">
        <f aca="false">Annual_Data!$H$25*W326</f>
        <v>28563.5915831928</v>
      </c>
      <c r="K326" s="13" t="n">
        <f aca="false">Annual_Data!$I$25*X326</f>
        <v>35174.5079635788</v>
      </c>
      <c r="L326" s="12" t="n">
        <f aca="false">K326*0.0036</f>
        <v>126.628228668884</v>
      </c>
      <c r="M326" s="14" t="n">
        <f aca="false">K326/(I326*E326/1000)</f>
        <v>280.472330627339</v>
      </c>
      <c r="N326" s="10" t="n">
        <f aca="false">LN(F326)</f>
        <v>2.08578223279326</v>
      </c>
      <c r="O326" s="10" t="n">
        <f aca="false">LN(G326)</f>
        <v>-0.391067113610797</v>
      </c>
      <c r="P326" s="10" t="n">
        <f aca="false">LN(I326)</f>
        <v>8.30536989108208</v>
      </c>
      <c r="Q326" s="10" t="n">
        <f aca="false">LN(J326)</f>
        <v>10.259888164261</v>
      </c>
      <c r="R326" s="10" t="n">
        <f aca="false">LN(M326)</f>
        <v>5.63647507705742</v>
      </c>
      <c r="S326" s="3" t="n">
        <v>0</v>
      </c>
      <c r="T326" s="3" t="s">
        <v>47</v>
      </c>
      <c r="U326" s="15" t="n">
        <v>0.0875096379</v>
      </c>
      <c r="V326" s="15" t="n">
        <v>0.084541845406</v>
      </c>
      <c r="W326" s="15" t="n">
        <v>0.084197035149</v>
      </c>
      <c r="X326" s="15" t="n">
        <v>0.090448708921</v>
      </c>
      <c r="Y326" s="15" t="n">
        <v>0.933657574415</v>
      </c>
    </row>
    <row r="327" customFormat="false" ht="15" hidden="false" customHeight="true" outlineLevel="0" collapsed="false">
      <c r="A327" s="3" t="s">
        <v>25</v>
      </c>
      <c r="B327" s="9" t="n">
        <v>45323</v>
      </c>
      <c r="C327" s="3" t="n">
        <v>2024</v>
      </c>
      <c r="D327" s="3" t="n">
        <v>2</v>
      </c>
      <c r="E327" s="3" t="n">
        <v>29</v>
      </c>
      <c r="F327" s="10" t="n">
        <f aca="false">Annual_Data!$C$25*U327</f>
        <v>7.399450484764</v>
      </c>
      <c r="G327" s="11" t="n">
        <f aca="false">Annual_Data!$D$25*V327</f>
        <v>0.587241173952</v>
      </c>
      <c r="H327" s="12" t="n">
        <f aca="false">Annual_Data!$E$24+(Annual_Data!$E$25-Annual_Data!$E$24)*D327/12</f>
        <v>61.8333333333333</v>
      </c>
      <c r="I327" s="13" t="n">
        <f aca="false">Annual_Data!$F$25*Y327</f>
        <v>4081.64009541806</v>
      </c>
      <c r="J327" s="13" t="n">
        <f aca="false">Annual_Data!$H$25*W327</f>
        <v>26716.4248143209</v>
      </c>
      <c r="K327" s="13" t="n">
        <f aca="false">Annual_Data!$I$25*X327</f>
        <v>31876.8158651035</v>
      </c>
      <c r="L327" s="12" t="n">
        <f aca="false">K327*0.0036</f>
        <v>114.756537114373</v>
      </c>
      <c r="M327" s="14" t="n">
        <f aca="false">K327/(I327*E327/1000)</f>
        <v>269.303642990588</v>
      </c>
      <c r="N327" s="10" t="n">
        <f aca="false">LN(F327)</f>
        <v>2.00140573863713</v>
      </c>
      <c r="O327" s="10" t="n">
        <f aca="false">LN(G327)</f>
        <v>-0.532319685011997</v>
      </c>
      <c r="P327" s="10" t="n">
        <f aca="false">LN(I327)</f>
        <v>8.31425417079531</v>
      </c>
      <c r="Q327" s="10" t="n">
        <f aca="false">LN(J327)</f>
        <v>10.1930338168391</v>
      </c>
      <c r="R327" s="10" t="n">
        <f aca="false">LN(M327)</f>
        <v>5.59583952735542</v>
      </c>
      <c r="S327" s="3" t="n">
        <v>0</v>
      </c>
      <c r="T327" s="3" t="s">
        <v>47</v>
      </c>
      <c r="U327" s="15" t="n">
        <v>0.080428809617</v>
      </c>
      <c r="V327" s="15" t="n">
        <v>0.073405146744</v>
      </c>
      <c r="W327" s="15" t="n">
        <v>0.078752132854</v>
      </c>
      <c r="X327" s="15" t="n">
        <v>0.081968931662</v>
      </c>
      <c r="Y327" s="15" t="n">
        <v>0.94198940582</v>
      </c>
    </row>
    <row r="328" customFormat="false" ht="15" hidden="false" customHeight="true" outlineLevel="0" collapsed="false">
      <c r="A328" s="3" t="s">
        <v>25</v>
      </c>
      <c r="B328" s="9" t="n">
        <v>45352</v>
      </c>
      <c r="C328" s="3" t="n">
        <v>2024</v>
      </c>
      <c r="D328" s="3" t="n">
        <v>3</v>
      </c>
      <c r="E328" s="3" t="n">
        <v>31</v>
      </c>
      <c r="F328" s="10" t="n">
        <f aca="false">Annual_Data!$C$25*U328</f>
        <v>7.85275209338</v>
      </c>
      <c r="G328" s="11" t="n">
        <f aca="false">Annual_Data!$D$25*V328</f>
        <v>0.6223808672</v>
      </c>
      <c r="H328" s="12" t="n">
        <f aca="false">Annual_Data!$E$24+(Annual_Data!$E$25-Annual_Data!$E$24)*D328/12</f>
        <v>61.75</v>
      </c>
      <c r="I328" s="13" t="n">
        <f aca="false">Annual_Data!$F$25*Y328</f>
        <v>4172.89120281245</v>
      </c>
      <c r="J328" s="13" t="n">
        <f aca="false">Annual_Data!$H$25*W328</f>
        <v>27962.7091474014</v>
      </c>
      <c r="K328" s="13" t="n">
        <f aca="false">Annual_Data!$I$25*X328</f>
        <v>33654.7793026485</v>
      </c>
      <c r="L328" s="12" t="n">
        <f aca="false">K328*0.0036</f>
        <v>121.157205489535</v>
      </c>
      <c r="M328" s="14" t="n">
        <f aca="false">K328/(I328*E328/1000)</f>
        <v>260.164473324686</v>
      </c>
      <c r="N328" s="10" t="n">
        <f aca="false">LN(F328)</f>
        <v>2.06086405549765</v>
      </c>
      <c r="O328" s="10" t="n">
        <f aca="false">LN(G328)</f>
        <v>-0.474203046950347</v>
      </c>
      <c r="P328" s="10" t="n">
        <f aca="false">LN(I328)</f>
        <v>8.33636440855565</v>
      </c>
      <c r="Q328" s="10" t="n">
        <f aca="false">LN(J328)</f>
        <v>10.2386270853377</v>
      </c>
      <c r="R328" s="10" t="n">
        <f aca="false">LN(M328)</f>
        <v>5.56131402072533</v>
      </c>
      <c r="S328" s="3" t="n">
        <v>0</v>
      </c>
      <c r="T328" s="3" t="s">
        <v>47</v>
      </c>
      <c r="U328" s="15" t="n">
        <v>0.085356001015</v>
      </c>
      <c r="V328" s="15" t="n">
        <v>0.0777976084</v>
      </c>
      <c r="W328" s="15" t="n">
        <v>0.082425811127</v>
      </c>
      <c r="X328" s="15" t="n">
        <v>0.086540836338</v>
      </c>
      <c r="Y328" s="15" t="n">
        <v>0.963048973647</v>
      </c>
    </row>
    <row r="329" customFormat="false" ht="15" hidden="false" customHeight="true" outlineLevel="0" collapsed="false">
      <c r="A329" s="3" t="s">
        <v>25</v>
      </c>
      <c r="B329" s="9" t="n">
        <v>45383</v>
      </c>
      <c r="C329" s="3" t="n">
        <v>2024</v>
      </c>
      <c r="D329" s="3" t="n">
        <v>4</v>
      </c>
      <c r="E329" s="3" t="n">
        <v>30</v>
      </c>
      <c r="F329" s="10" t="n">
        <f aca="false">Annual_Data!$C$25*U329</f>
        <v>7.401082086916</v>
      </c>
      <c r="G329" s="11" t="n">
        <f aca="false">Annual_Data!$D$25*V329</f>
        <v>0.60745105696</v>
      </c>
      <c r="H329" s="12" t="n">
        <f aca="false">Annual_Data!$E$24+(Annual_Data!$E$25-Annual_Data!$E$24)*D329/12</f>
        <v>61.6666666666667</v>
      </c>
      <c r="I329" s="13" t="n">
        <f aca="false">Annual_Data!$F$25*Y329</f>
        <v>4210.70289937932</v>
      </c>
      <c r="J329" s="13" t="n">
        <f aca="false">Annual_Data!$H$25*W329</f>
        <v>27683.4550882884</v>
      </c>
      <c r="K329" s="13" t="n">
        <f aca="false">Annual_Data!$I$25*X329</f>
        <v>31371.9983993144</v>
      </c>
      <c r="L329" s="12" t="n">
        <f aca="false">K329*0.0036</f>
        <v>112.939194237532</v>
      </c>
      <c r="M329" s="14" t="n">
        <f aca="false">K329/(I329*E329/1000)</f>
        <v>248.351238490679</v>
      </c>
      <c r="N329" s="10" t="n">
        <f aca="false">LN(F329)</f>
        <v>2.00162621748148</v>
      </c>
      <c r="O329" s="10" t="n">
        <f aca="false">LN(G329)</f>
        <v>-0.498483671687838</v>
      </c>
      <c r="P329" s="10" t="n">
        <f aca="false">LN(I329)</f>
        <v>8.34538487221277</v>
      </c>
      <c r="Q329" s="10" t="n">
        <f aca="false">LN(J329)</f>
        <v>10.2285902244957</v>
      </c>
      <c r="R329" s="10" t="n">
        <f aca="false">LN(M329)</f>
        <v>5.51484402841702</v>
      </c>
      <c r="S329" s="3" t="n">
        <v>0</v>
      </c>
      <c r="T329" s="3" t="s">
        <v>47</v>
      </c>
      <c r="U329" s="15" t="n">
        <v>0.080446544423</v>
      </c>
      <c r="V329" s="15" t="n">
        <v>0.07593138212</v>
      </c>
      <c r="W329" s="15" t="n">
        <v>0.081602652605</v>
      </c>
      <c r="X329" s="15" t="n">
        <v>0.080670829978</v>
      </c>
      <c r="Y329" s="15" t="n">
        <v>0.971775421043</v>
      </c>
    </row>
    <row r="330" customFormat="false" ht="15" hidden="false" customHeight="true" outlineLevel="0" collapsed="false">
      <c r="A330" s="3" t="s">
        <v>25</v>
      </c>
      <c r="B330" s="9" t="n">
        <v>45413</v>
      </c>
      <c r="C330" s="3" t="n">
        <v>2024</v>
      </c>
      <c r="D330" s="3" t="n">
        <v>5</v>
      </c>
      <c r="E330" s="3" t="n">
        <v>31</v>
      </c>
      <c r="F330" s="10" t="n">
        <f aca="false">Annual_Data!$C$25*U330</f>
        <v>7.525236521984</v>
      </c>
      <c r="G330" s="11" t="n">
        <f aca="false">Annual_Data!$D$25*V330</f>
        <v>0.63280643736</v>
      </c>
      <c r="H330" s="12" t="n">
        <f aca="false">Annual_Data!$E$24+(Annual_Data!$E$25-Annual_Data!$E$24)*D330/12</f>
        <v>61.5833333333333</v>
      </c>
      <c r="I330" s="13" t="n">
        <f aca="false">Annual_Data!$F$25*Y330</f>
        <v>4193.5236040529</v>
      </c>
      <c r="J330" s="13" t="n">
        <f aca="false">Annual_Data!$H$25*W330</f>
        <v>27995.6363394317</v>
      </c>
      <c r="K330" s="13" t="n">
        <f aca="false">Annual_Data!$I$25*X330</f>
        <v>31606.2883305322</v>
      </c>
      <c r="L330" s="12" t="n">
        <f aca="false">K330*0.0036</f>
        <v>113.782637989916</v>
      </c>
      <c r="M330" s="14" t="n">
        <f aca="false">K330/(I330*E330/1000)</f>
        <v>243.12673168128</v>
      </c>
      <c r="N330" s="10" t="n">
        <f aca="false">LN(F330)</f>
        <v>2.01826224163387</v>
      </c>
      <c r="O330" s="10" t="n">
        <f aca="false">LN(G330)</f>
        <v>-0.45759068976122</v>
      </c>
      <c r="P330" s="10" t="n">
        <f aca="false">LN(I330)</f>
        <v>8.34129661513234</v>
      </c>
      <c r="Q330" s="10" t="n">
        <f aca="false">LN(J330)</f>
        <v>10.2398039319919</v>
      </c>
      <c r="R330" s="10" t="n">
        <f aca="false">LN(M330)</f>
        <v>5.49358283694387</v>
      </c>
      <c r="S330" s="3" t="n">
        <v>1</v>
      </c>
      <c r="T330" s="3" t="s">
        <v>47</v>
      </c>
      <c r="U330" s="15" t="n">
        <v>0.081796049152</v>
      </c>
      <c r="V330" s="15" t="n">
        <v>0.07910080467</v>
      </c>
      <c r="W330" s="15" t="n">
        <v>0.082522870768</v>
      </c>
      <c r="X330" s="15" t="n">
        <v>0.081273289629</v>
      </c>
      <c r="Y330" s="15" t="n">
        <v>0.967810663294</v>
      </c>
    </row>
    <row r="331" customFormat="false" ht="15" hidden="false" customHeight="true" outlineLevel="0" collapsed="false">
      <c r="A331" s="3" t="s">
        <v>25</v>
      </c>
      <c r="B331" s="9" t="n">
        <v>45444</v>
      </c>
      <c r="C331" s="3" t="n">
        <v>2024</v>
      </c>
      <c r="D331" s="3" t="n">
        <v>6</v>
      </c>
      <c r="E331" s="3" t="n">
        <v>30</v>
      </c>
      <c r="F331" s="10" t="n">
        <f aca="false">Annual_Data!$C$25*U331</f>
        <v>7.366764649232</v>
      </c>
      <c r="G331" s="11" t="n">
        <f aca="false">Annual_Data!$D$25*V331</f>
        <v>0.671411542704</v>
      </c>
      <c r="H331" s="12" t="n">
        <f aca="false">Annual_Data!$E$24+(Annual_Data!$E$25-Annual_Data!$E$24)*D331/12</f>
        <v>61.5</v>
      </c>
      <c r="I331" s="13" t="n">
        <f aca="false">Annual_Data!$F$25*Y331</f>
        <v>4270.95456252012</v>
      </c>
      <c r="J331" s="13" t="n">
        <f aca="false">Annual_Data!$H$25*W331</f>
        <v>26724.1222476709</v>
      </c>
      <c r="K331" s="13" t="n">
        <f aca="false">Annual_Data!$I$25*X331</f>
        <v>30837.0567294185</v>
      </c>
      <c r="L331" s="12" t="n">
        <f aca="false">K331*0.0036</f>
        <v>111.013404225906</v>
      </c>
      <c r="M331" s="14" t="n">
        <f aca="false">K331/(I331*E331/1000)</f>
        <v>240.672635574491</v>
      </c>
      <c r="N331" s="10" t="n">
        <f aca="false">LN(F331)</f>
        <v>1.99697862056787</v>
      </c>
      <c r="O331" s="10" t="n">
        <f aca="false">LN(G331)</f>
        <v>-0.398373002591132</v>
      </c>
      <c r="P331" s="10" t="n">
        <f aca="false">LN(I331)</f>
        <v>8.35959263218036</v>
      </c>
      <c r="Q331" s="10" t="n">
        <f aca="false">LN(J331)</f>
        <v>10.1933218914875</v>
      </c>
      <c r="R331" s="10" t="n">
        <f aca="false">LN(M331)</f>
        <v>5.48343765147322</v>
      </c>
      <c r="S331" s="3" t="n">
        <v>1</v>
      </c>
      <c r="T331" s="3" t="s">
        <v>47</v>
      </c>
      <c r="U331" s="15" t="n">
        <v>0.080073528796</v>
      </c>
      <c r="V331" s="15" t="n">
        <v>0.083926442838</v>
      </c>
      <c r="W331" s="15" t="n">
        <v>0.078774822615</v>
      </c>
      <c r="X331" s="15" t="n">
        <v>0.079295266077</v>
      </c>
      <c r="Y331" s="15" t="n">
        <v>0.985680720637</v>
      </c>
    </row>
    <row r="332" customFormat="false" ht="15" hidden="false" customHeight="true" outlineLevel="0" collapsed="false">
      <c r="A332" s="3" t="s">
        <v>25</v>
      </c>
      <c r="B332" s="9" t="n">
        <v>45474</v>
      </c>
      <c r="C332" s="3" t="n">
        <v>2024</v>
      </c>
      <c r="D332" s="3" t="n">
        <v>7</v>
      </c>
      <c r="E332" s="3" t="n">
        <v>31</v>
      </c>
      <c r="F332" s="10" t="n">
        <f aca="false">Annual_Data!$C$25*U332</f>
        <v>7.940069976664</v>
      </c>
      <c r="G332" s="11" t="n">
        <f aca="false">Annual_Data!$D$25*V332</f>
        <v>0.7142827582</v>
      </c>
      <c r="H332" s="12" t="n">
        <f aca="false">Annual_Data!$E$24+(Annual_Data!$E$25-Annual_Data!$E$24)*D332/12</f>
        <v>61.4166666666667</v>
      </c>
      <c r="I332" s="13" t="n">
        <f aca="false">Annual_Data!$F$25*Y332</f>
        <v>4410.81204010633</v>
      </c>
      <c r="J332" s="13" t="n">
        <f aca="false">Annual_Data!$H$25*W332</f>
        <v>29340.8322904594</v>
      </c>
      <c r="K332" s="13" t="n">
        <f aca="false">Annual_Data!$I$25*X332</f>
        <v>33225.6457418167</v>
      </c>
      <c r="L332" s="12" t="n">
        <f aca="false">K332*0.0036</f>
        <v>119.61232467054</v>
      </c>
      <c r="M332" s="14" t="n">
        <f aca="false">K332/(I332*E332/1000)</f>
        <v>242.992676673598</v>
      </c>
      <c r="N332" s="10" t="n">
        <f aca="false">LN(F332)</f>
        <v>2.07192208840207</v>
      </c>
      <c r="O332" s="10" t="n">
        <f aca="false">LN(G332)</f>
        <v>-0.336476375149777</v>
      </c>
      <c r="P332" s="10" t="n">
        <f aca="false">LN(I332)</f>
        <v>8.39181408756846</v>
      </c>
      <c r="Q332" s="10" t="n">
        <f aca="false">LN(J332)</f>
        <v>10.286735418386</v>
      </c>
      <c r="R332" s="10" t="n">
        <f aca="false">LN(M332)</f>
        <v>5.49303130574073</v>
      </c>
      <c r="S332" s="3" t="n">
        <v>1</v>
      </c>
      <c r="T332" s="3" t="s">
        <v>47</v>
      </c>
      <c r="U332" s="15" t="n">
        <v>0.086305108442</v>
      </c>
      <c r="V332" s="15" t="n">
        <v>0.089285344775</v>
      </c>
      <c r="W332" s="15" t="n">
        <v>0.086488111289</v>
      </c>
      <c r="X332" s="15" t="n">
        <v>0.085437350354</v>
      </c>
      <c r="Y332" s="15" t="n">
        <v>1.017958006025</v>
      </c>
    </row>
    <row r="333" customFormat="false" ht="15" hidden="false" customHeight="true" outlineLevel="0" collapsed="false">
      <c r="A333" s="3" t="s">
        <v>25</v>
      </c>
      <c r="B333" s="9" t="n">
        <v>45505</v>
      </c>
      <c r="C333" s="3" t="n">
        <v>2024</v>
      </c>
      <c r="D333" s="3" t="n">
        <v>8</v>
      </c>
      <c r="E333" s="3" t="n">
        <v>31</v>
      </c>
      <c r="F333" s="10" t="n">
        <f aca="false">Annual_Data!$C$25*U333</f>
        <v>7.937535905664</v>
      </c>
      <c r="G333" s="11" t="n">
        <f aca="false">Annual_Data!$D$25*V333</f>
        <v>0.737203456952</v>
      </c>
      <c r="H333" s="12" t="n">
        <f aca="false">Annual_Data!$E$24+(Annual_Data!$E$25-Annual_Data!$E$24)*D333/12</f>
        <v>61.3333333333333</v>
      </c>
      <c r="I333" s="13" t="n">
        <f aca="false">Annual_Data!$F$25*Y333</f>
        <v>4498.80750037438</v>
      </c>
      <c r="J333" s="13" t="n">
        <f aca="false">Annual_Data!$H$25*W333</f>
        <v>29852.8973983783</v>
      </c>
      <c r="K333" s="13" t="n">
        <f aca="false">Annual_Data!$I$25*X333</f>
        <v>33467.5594903238</v>
      </c>
      <c r="L333" s="12" t="n">
        <f aca="false">K333*0.0036</f>
        <v>120.483214165166</v>
      </c>
      <c r="M333" s="14" t="n">
        <f aca="false">K333/(I333*E333/1000)</f>
        <v>239.974413918891</v>
      </c>
      <c r="N333" s="10" t="n">
        <f aca="false">LN(F333)</f>
        <v>2.0716028877568</v>
      </c>
      <c r="O333" s="10" t="n">
        <f aca="false">LN(G333)</f>
        <v>-0.304891363897409</v>
      </c>
      <c r="P333" s="10" t="n">
        <f aca="false">LN(I333)</f>
        <v>8.41156764072292</v>
      </c>
      <c r="Q333" s="10" t="n">
        <f aca="false">LN(J333)</f>
        <v>10.3040371793825</v>
      </c>
      <c r="R333" s="10" t="n">
        <f aca="false">LN(M333)</f>
        <v>5.4805323089876</v>
      </c>
      <c r="S333" s="3" t="n">
        <v>1</v>
      </c>
      <c r="T333" s="3" t="s">
        <v>47</v>
      </c>
      <c r="U333" s="15" t="n">
        <v>0.086277564192</v>
      </c>
      <c r="V333" s="15" t="n">
        <v>0.092150432119</v>
      </c>
      <c r="W333" s="15" t="n">
        <v>0.08799752805</v>
      </c>
      <c r="X333" s="15" t="n">
        <v>0.086059414101</v>
      </c>
      <c r="Y333" s="15" t="n">
        <v>1.038266212872</v>
      </c>
    </row>
    <row r="334" customFormat="false" ht="15" hidden="false" customHeight="true" outlineLevel="0" collapsed="false">
      <c r="A334" s="3" t="s">
        <v>25</v>
      </c>
      <c r="B334" s="9" t="n">
        <v>45536</v>
      </c>
      <c r="C334" s="3" t="n">
        <v>2024</v>
      </c>
      <c r="D334" s="3" t="n">
        <v>9</v>
      </c>
      <c r="E334" s="3" t="n">
        <v>30</v>
      </c>
      <c r="F334" s="10" t="n">
        <f aca="false">Annual_Data!$C$25*U334</f>
        <v>7.432420057496</v>
      </c>
      <c r="G334" s="11" t="n">
        <f aca="false">Annual_Data!$D$25*V334</f>
        <v>0.678843933704</v>
      </c>
      <c r="H334" s="12" t="n">
        <f aca="false">Annual_Data!$E$24+(Annual_Data!$E$25-Annual_Data!$E$24)*D334/12</f>
        <v>61.25</v>
      </c>
      <c r="I334" s="13" t="n">
        <f aca="false">Annual_Data!$F$25*Y334</f>
        <v>4522.3522767604</v>
      </c>
      <c r="J334" s="13" t="n">
        <f aca="false">Annual_Data!$H$25*W334</f>
        <v>28177.965966716</v>
      </c>
      <c r="K334" s="13" t="n">
        <f aca="false">Annual_Data!$I$25*X334</f>
        <v>31162.3429229684</v>
      </c>
      <c r="L334" s="12" t="n">
        <f aca="false">K334*0.0036</f>
        <v>112.184434522686</v>
      </c>
      <c r="M334" s="14" t="n">
        <f aca="false">K334/(I334*E334/1000)</f>
        <v>229.69125369487</v>
      </c>
      <c r="N334" s="10" t="n">
        <f aca="false">LN(F334)</f>
        <v>2.00585152002951</v>
      </c>
      <c r="O334" s="10" t="n">
        <f aca="false">LN(G334)</f>
        <v>-0.387364025111887</v>
      </c>
      <c r="P334" s="10" t="n">
        <f aca="false">LN(I334)</f>
        <v>8.41678755266972</v>
      </c>
      <c r="Q334" s="10" t="n">
        <f aca="false">LN(J334)</f>
        <v>10.2462956028162</v>
      </c>
      <c r="R334" s="10" t="n">
        <f aca="false">LN(M334)</f>
        <v>5.43673603189074</v>
      </c>
      <c r="S334" s="3" t="n">
        <v>1</v>
      </c>
      <c r="T334" s="3" t="s">
        <v>47</v>
      </c>
      <c r="U334" s="15" t="n">
        <v>0.080787174538</v>
      </c>
      <c r="V334" s="15" t="n">
        <v>0.084855491713</v>
      </c>
      <c r="W334" s="15" t="n">
        <v>0.08306032468</v>
      </c>
      <c r="X334" s="15" t="n">
        <v>0.08013171605</v>
      </c>
      <c r="Y334" s="15" t="n">
        <v>1.043700040794</v>
      </c>
    </row>
    <row r="335" customFormat="false" ht="15" hidden="false" customHeight="true" outlineLevel="0" collapsed="false">
      <c r="A335" s="3" t="s">
        <v>25</v>
      </c>
      <c r="B335" s="9" t="n">
        <v>45566</v>
      </c>
      <c r="C335" s="3" t="n">
        <v>2024</v>
      </c>
      <c r="D335" s="3" t="n">
        <v>10</v>
      </c>
      <c r="E335" s="3" t="n">
        <v>31</v>
      </c>
      <c r="F335" s="10" t="n">
        <f aca="false">Annual_Data!$C$25*U335</f>
        <v>7.568494589864</v>
      </c>
      <c r="G335" s="11" t="n">
        <f aca="false">Annual_Data!$D$25*V335</f>
        <v>0.68357124792</v>
      </c>
      <c r="H335" s="12" t="n">
        <f aca="false">Annual_Data!$E$24+(Annual_Data!$E$25-Annual_Data!$E$24)*D335/12</f>
        <v>61.1666666666667</v>
      </c>
      <c r="I335" s="13" t="n">
        <f aca="false">Annual_Data!$F$25*Y335</f>
        <v>4495.92355913741</v>
      </c>
      <c r="J335" s="13" t="n">
        <f aca="false">Annual_Data!$H$25*W335</f>
        <v>29258.100078771</v>
      </c>
      <c r="K335" s="13" t="n">
        <f aca="false">Annual_Data!$I$25*X335</f>
        <v>31271.2098240733</v>
      </c>
      <c r="L335" s="12" t="n">
        <f aca="false">K335*0.0036</f>
        <v>112.576355366664</v>
      </c>
      <c r="M335" s="14" t="n">
        <f aca="false">K335/(I335*E335/1000)</f>
        <v>224.369629673131</v>
      </c>
      <c r="N335" s="10" t="n">
        <f aca="false">LN(F335)</f>
        <v>2.02399418239748</v>
      </c>
      <c r="O335" s="10" t="n">
        <f aca="false">LN(G335)</f>
        <v>-0.380424388426293</v>
      </c>
      <c r="P335" s="10" t="n">
        <f aca="false">LN(I335)</f>
        <v>8.41092638945777</v>
      </c>
      <c r="Q335" s="10" t="n">
        <f aca="false">LN(J335)</f>
        <v>10.2839117400931</v>
      </c>
      <c r="R335" s="10" t="n">
        <f aca="false">LN(M335)</f>
        <v>5.41329482435167</v>
      </c>
      <c r="S335" s="3" t="n">
        <v>1</v>
      </c>
      <c r="T335" s="3" t="s">
        <v>47</v>
      </c>
      <c r="U335" s="15" t="n">
        <v>0.082266245542</v>
      </c>
      <c r="V335" s="15" t="n">
        <v>0.08544640599</v>
      </c>
      <c r="W335" s="15" t="n">
        <v>0.086244241154</v>
      </c>
      <c r="X335" s="15" t="n">
        <v>0.08041165943</v>
      </c>
      <c r="Y335" s="15" t="n">
        <v>1.037600636773</v>
      </c>
    </row>
    <row r="336" customFormat="false" ht="15" hidden="false" customHeight="true" outlineLevel="0" collapsed="false">
      <c r="A336" s="3" t="s">
        <v>25</v>
      </c>
      <c r="B336" s="9" t="n">
        <v>45597</v>
      </c>
      <c r="C336" s="3" t="n">
        <v>2024</v>
      </c>
      <c r="D336" s="3" t="n">
        <v>11</v>
      </c>
      <c r="E336" s="3" t="n">
        <v>30</v>
      </c>
      <c r="F336" s="10" t="n">
        <f aca="false">Annual_Data!$C$25*U336</f>
        <v>7.604524190972</v>
      </c>
      <c r="G336" s="11" t="n">
        <f aca="false">Annual_Data!$D$25*V336</f>
        <v>0.656726823008</v>
      </c>
      <c r="H336" s="12" t="n">
        <f aca="false">Annual_Data!$E$24+(Annual_Data!$E$25-Annual_Data!$E$24)*D336/12</f>
        <v>61.0833333333333</v>
      </c>
      <c r="I336" s="13" t="n">
        <f aca="false">Annual_Data!$F$25*Y336</f>
        <v>4529.50054412005</v>
      </c>
      <c r="J336" s="13" t="n">
        <f aca="false">Annual_Data!$H$25*W336</f>
        <v>28424.5642609131</v>
      </c>
      <c r="K336" s="13" t="n">
        <f aca="false">Annual_Data!$I$25*X336</f>
        <v>31782.9156414416</v>
      </c>
      <c r="L336" s="12" t="n">
        <f aca="false">K336*0.0036</f>
        <v>114.41849630919</v>
      </c>
      <c r="M336" s="14" t="n">
        <f aca="false">K336/(I336*E336/1000)</f>
        <v>233.895660473356</v>
      </c>
      <c r="N336" s="10" t="n">
        <f aca="false">LN(F336)</f>
        <v>2.02874335846429</v>
      </c>
      <c r="O336" s="10" t="n">
        <f aca="false">LN(G336)</f>
        <v>-0.420487141472404</v>
      </c>
      <c r="P336" s="10" t="n">
        <f aca="false">LN(I336)</f>
        <v>8.4183669572374</v>
      </c>
      <c r="Q336" s="10" t="n">
        <f aca="false">LN(J336)</f>
        <v>10.2550089890699</v>
      </c>
      <c r="R336" s="10" t="n">
        <f aca="false">LN(M336)</f>
        <v>5.45487512050377</v>
      </c>
      <c r="S336" s="3" t="n">
        <v>1</v>
      </c>
      <c r="T336" s="3" t="s">
        <v>47</v>
      </c>
      <c r="U336" s="15" t="n">
        <v>0.082657871641</v>
      </c>
      <c r="V336" s="15" t="n">
        <v>0.082090852876</v>
      </c>
      <c r="W336" s="15" t="n">
        <v>0.083787223648</v>
      </c>
      <c r="X336" s="15" t="n">
        <v>0.081727474013</v>
      </c>
      <c r="Y336" s="15" t="n">
        <v>1.045349767856</v>
      </c>
    </row>
    <row r="337" customFormat="false" ht="15" hidden="false" customHeight="true" outlineLevel="0" collapsed="false">
      <c r="A337" s="3" t="s">
        <v>25</v>
      </c>
      <c r="B337" s="9" t="n">
        <v>45627</v>
      </c>
      <c r="C337" s="3" t="n">
        <v>2024</v>
      </c>
      <c r="D337" s="3" t="n">
        <v>12</v>
      </c>
      <c r="E337" s="3" t="n">
        <v>31</v>
      </c>
      <c r="F337" s="10" t="n">
        <f aca="false">Annual_Data!$C$25*U337</f>
        <v>7.920782756356</v>
      </c>
      <c r="G337" s="11" t="n">
        <f aca="false">Annual_Data!$D$25*V337</f>
        <v>0.731745938768</v>
      </c>
      <c r="H337" s="12" t="n">
        <f aca="false">Annual_Data!$E$24+(Annual_Data!$E$25-Annual_Data!$E$24)*D337/12</f>
        <v>61</v>
      </c>
      <c r="I337" s="13" t="n">
        <f aca="false">Annual_Data!$F$25*Y337</f>
        <v>4553.63700903574</v>
      </c>
      <c r="J337" s="13" t="n">
        <f aca="false">Annual_Data!$H$25*W337</f>
        <v>28546.7007844561</v>
      </c>
      <c r="K337" s="13" t="n">
        <f aca="false">Annual_Data!$I$25*X337</f>
        <v>33457.8797891693</v>
      </c>
      <c r="L337" s="12" t="n">
        <f aca="false">K337*0.0036</f>
        <v>120.448367241009</v>
      </c>
      <c r="M337" s="14" t="n">
        <f aca="false">K337/(I337*E337/1000)</f>
        <v>237.016354766595</v>
      </c>
      <c r="N337" s="10" t="n">
        <f aca="false">LN(F337)</f>
        <v>2.06949003381592</v>
      </c>
      <c r="O337" s="10" t="n">
        <f aca="false">LN(G337)</f>
        <v>-0.312321903452192</v>
      </c>
      <c r="P337" s="10" t="n">
        <f aca="false">LN(I337)</f>
        <v>8.42368153528603</v>
      </c>
      <c r="Q337" s="10" t="n">
        <f aca="false">LN(J337)</f>
        <v>10.2592966491932</v>
      </c>
      <c r="R337" s="10" t="n">
        <f aca="false">LN(M337)</f>
        <v>5.46812914620822</v>
      </c>
      <c r="S337" s="3" t="n">
        <v>1</v>
      </c>
      <c r="T337" s="3" t="s">
        <v>47</v>
      </c>
      <c r="U337" s="15" t="n">
        <v>0.086095464743</v>
      </c>
      <c r="V337" s="15" t="n">
        <v>0.091468242346</v>
      </c>
      <c r="W337" s="15" t="n">
        <v>0.084147246061</v>
      </c>
      <c r="X337" s="15" t="n">
        <v>0.086034523448</v>
      </c>
      <c r="Y337" s="15" t="n">
        <v>1.050920149789</v>
      </c>
    </row>
    <row r="338" customFormat="false" ht="15" hidden="false" customHeight="true" outlineLevel="0" collapsed="false">
      <c r="A338" s="3" t="s">
        <v>25</v>
      </c>
      <c r="B338" s="9" t="n">
        <v>45658</v>
      </c>
      <c r="C338" s="3" t="n">
        <v>2025</v>
      </c>
      <c r="D338" s="3" t="n">
        <v>1</v>
      </c>
      <c r="E338" s="3" t="n">
        <v>31</v>
      </c>
      <c r="F338" s="10" t="n">
        <f aca="false">Annual_Data!$C$26*U338</f>
        <v>7.94125638243</v>
      </c>
      <c r="G338" s="11" t="n">
        <f aca="false">Annual_Data!$D$26*V338</f>
        <v>0.731993774364</v>
      </c>
      <c r="H338" s="12" t="n">
        <f aca="false">Annual_Data!$E$25+(Annual_Data!$E$26-Annual_Data!$E$25)*D338/12</f>
        <v>60.75</v>
      </c>
      <c r="I338" s="13" t="n">
        <f aca="false">Annual_Data!$F$26*Y338</f>
        <v>4636.88642040602</v>
      </c>
      <c r="J338" s="13" t="n">
        <f aca="false">Annual_Data!$H$26*W338</f>
        <v>28401.1778516013</v>
      </c>
      <c r="K338" s="13" t="n">
        <f aca="false">Annual_Data!$I$26*X338</f>
        <v>33676.5006969657</v>
      </c>
      <c r="L338" s="12" t="n">
        <f aca="false">K338*0.0036</f>
        <v>121.235402509077</v>
      </c>
      <c r="M338" s="14" t="n">
        <f aca="false">K338/(I338*E338/1000)</f>
        <v>234.28193698673</v>
      </c>
      <c r="N338" s="10" t="n">
        <f aca="false">LN(F338)</f>
        <v>2.07207149730425</v>
      </c>
      <c r="O338" s="10" t="n">
        <f aca="false">LN(G338)</f>
        <v>-0.311983270024206</v>
      </c>
      <c r="P338" s="10" t="n">
        <f aca="false">LN(I338)</f>
        <v>8.44179838989393</v>
      </c>
      <c r="Q338" s="10" t="n">
        <f aca="false">LN(J338)</f>
        <v>10.2541858969372</v>
      </c>
      <c r="R338" s="10" t="n">
        <f aca="false">LN(M338)</f>
        <v>5.45652524901534</v>
      </c>
      <c r="S338" s="3" t="n">
        <v>1</v>
      </c>
      <c r="T338" s="3" t="s">
        <v>47</v>
      </c>
      <c r="U338" s="15" t="n">
        <v>0.088236182027</v>
      </c>
      <c r="V338" s="15" t="n">
        <v>0.081332641596</v>
      </c>
      <c r="W338" s="15" t="n">
        <v>0.087683666049</v>
      </c>
      <c r="X338" s="15" t="n">
        <v>0.086596691336</v>
      </c>
      <c r="Y338" s="15" t="n">
        <v>0.979072301606</v>
      </c>
    </row>
    <row r="339" customFormat="false" ht="15" hidden="false" customHeight="true" outlineLevel="0" collapsed="false">
      <c r="A339" s="3" t="s">
        <v>25</v>
      </c>
      <c r="B339" s="9" t="n">
        <v>45689</v>
      </c>
      <c r="C339" s="3" t="n">
        <v>2025</v>
      </c>
      <c r="D339" s="3" t="n">
        <v>2</v>
      </c>
      <c r="E339" s="3" t="n">
        <v>28</v>
      </c>
      <c r="F339" s="10" t="n">
        <f aca="false">Annual_Data!$C$26*U339</f>
        <v>7.0635166506</v>
      </c>
      <c r="G339" s="11" t="n">
        <f aca="false">Annual_Data!$D$26*V339</f>
        <v>0.676001373534</v>
      </c>
      <c r="H339" s="12" t="n">
        <f aca="false">Annual_Data!$E$25+(Annual_Data!$E$26-Annual_Data!$E$25)*D339/12</f>
        <v>60.5</v>
      </c>
      <c r="I339" s="13" t="n">
        <f aca="false">Annual_Data!$F$26*Y339</f>
        <v>4664.89206228838</v>
      </c>
      <c r="J339" s="13" t="n">
        <f aca="false">Annual_Data!$H$26*W339</f>
        <v>25897.9840349871</v>
      </c>
      <c r="K339" s="13" t="n">
        <f aca="false">Annual_Data!$I$26*X339</f>
        <v>29950.0998638912</v>
      </c>
      <c r="L339" s="12" t="n">
        <f aca="false">K339*0.0036</f>
        <v>107.820359510008</v>
      </c>
      <c r="M339" s="14" t="n">
        <f aca="false">K339/(I339*E339/1000)</f>
        <v>229.297143305322</v>
      </c>
      <c r="N339" s="10" t="n">
        <f aca="false">LN(F339)</f>
        <v>1.95494303664011</v>
      </c>
      <c r="O339" s="10" t="n">
        <f aca="false">LN(G339)</f>
        <v>-0.391560171086208</v>
      </c>
      <c r="P339" s="10" t="n">
        <f aca="false">LN(I339)</f>
        <v>8.44781997524064</v>
      </c>
      <c r="Q339" s="10" t="n">
        <f aca="false">LN(J339)</f>
        <v>10.1619204081712</v>
      </c>
      <c r="R339" s="10" t="n">
        <f aca="false">LN(M339)</f>
        <v>5.43501873145796</v>
      </c>
      <c r="S339" s="3" t="n">
        <v>1</v>
      </c>
      <c r="T339" s="3" t="s">
        <v>47</v>
      </c>
      <c r="U339" s="15" t="n">
        <v>0.07848351834</v>
      </c>
      <c r="V339" s="15" t="n">
        <v>0.075111263726</v>
      </c>
      <c r="W339" s="15" t="n">
        <v>0.079955493231</v>
      </c>
      <c r="X339" s="15" t="n">
        <v>0.077014520503</v>
      </c>
      <c r="Y339" s="15" t="n">
        <v>0.984985655044</v>
      </c>
    </row>
    <row r="340" customFormat="false" ht="15" hidden="false" customHeight="true" outlineLevel="0" collapsed="false">
      <c r="A340" s="3" t="s">
        <v>25</v>
      </c>
      <c r="B340" s="9" t="n">
        <v>45717</v>
      </c>
      <c r="C340" s="3" t="n">
        <v>2025</v>
      </c>
      <c r="D340" s="3" t="n">
        <v>3</v>
      </c>
      <c r="E340" s="3" t="n">
        <v>31</v>
      </c>
      <c r="F340" s="10" t="n">
        <f aca="false">Annual_Data!$C$26*U340</f>
        <v>7.76710181205</v>
      </c>
      <c r="G340" s="11" t="n">
        <f aca="false">Annual_Data!$D$26*V340</f>
        <v>0.73763900613</v>
      </c>
      <c r="H340" s="12" t="n">
        <f aca="false">Annual_Data!$E$25+(Annual_Data!$E$26-Annual_Data!$E$25)*D340/12</f>
        <v>60.25</v>
      </c>
      <c r="I340" s="13" t="n">
        <f aca="false">Annual_Data!$F$26*Y340</f>
        <v>4693.46431292134</v>
      </c>
      <c r="J340" s="13" t="n">
        <f aca="false">Annual_Data!$H$26*W340</f>
        <v>28988.8863094037</v>
      </c>
      <c r="K340" s="13" t="n">
        <f aca="false">Annual_Data!$I$26*X340</f>
        <v>32775.1074644249</v>
      </c>
      <c r="L340" s="12" t="n">
        <f aca="false">K340*0.0036</f>
        <v>117.990386871929</v>
      </c>
      <c r="M340" s="14" t="n">
        <f aca="false">K340/(I340*E340/1000)</f>
        <v>225.262505608019</v>
      </c>
      <c r="N340" s="10" t="n">
        <f aca="false">LN(F340)</f>
        <v>2.04989709763665</v>
      </c>
      <c r="O340" s="10" t="n">
        <f aca="false">LN(G340)</f>
        <v>-0.304300725640694</v>
      </c>
      <c r="P340" s="10" t="n">
        <f aca="false">LN(I340)</f>
        <v>8.45392624823719</v>
      </c>
      <c r="Q340" s="10" t="n">
        <f aca="false">LN(J340)</f>
        <v>10.2746678048067</v>
      </c>
      <c r="R340" s="10" t="n">
        <f aca="false">LN(M340)</f>
        <v>5.41726641373987</v>
      </c>
      <c r="S340" s="3" t="n">
        <v>1</v>
      </c>
      <c r="T340" s="3" t="s">
        <v>47</v>
      </c>
      <c r="U340" s="15" t="n">
        <v>0.086301131245</v>
      </c>
      <c r="V340" s="15" t="n">
        <v>0.08195988957</v>
      </c>
      <c r="W340" s="15" t="n">
        <v>0.089498113056</v>
      </c>
      <c r="X340" s="15" t="n">
        <v>0.084278823686</v>
      </c>
      <c r="Y340" s="15" t="n">
        <v>0.991018647154</v>
      </c>
    </row>
    <row r="341" customFormat="false" ht="15" hidden="false" customHeight="true" outlineLevel="0" collapsed="false">
      <c r="A341" s="3" t="s">
        <v>25</v>
      </c>
      <c r="B341" s="9" t="n">
        <v>45748</v>
      </c>
      <c r="C341" s="3" t="n">
        <v>2025</v>
      </c>
      <c r="D341" s="3" t="n">
        <v>4</v>
      </c>
      <c r="E341" s="3" t="n">
        <v>30</v>
      </c>
      <c r="F341" s="10" t="n">
        <f aca="false">Annual_Data!$C$26*U341</f>
        <v>7.29671947884</v>
      </c>
      <c r="G341" s="11" t="n">
        <f aca="false">Annual_Data!$D$26*V341</f>
        <v>0.713982648186</v>
      </c>
      <c r="H341" s="12" t="n">
        <f aca="false">Annual_Data!$E$25+(Annual_Data!$E$26-Annual_Data!$E$25)*D341/12</f>
        <v>60</v>
      </c>
      <c r="I341" s="13" t="n">
        <f aca="false">Annual_Data!$F$26*Y341</f>
        <v>4712.45612027443</v>
      </c>
      <c r="J341" s="13" t="n">
        <f aca="false">Annual_Data!$H$26*W341</f>
        <v>25769.7760077684</v>
      </c>
      <c r="K341" s="13" t="n">
        <f aca="false">Annual_Data!$I$26*X341</f>
        <v>31245.6990121178</v>
      </c>
      <c r="L341" s="12" t="n">
        <f aca="false">K341*0.0036</f>
        <v>112.484516443624</v>
      </c>
      <c r="M341" s="14" t="n">
        <f aca="false">K341/(I341*E341/1000)</f>
        <v>221.014959889594</v>
      </c>
      <c r="N341" s="10" t="n">
        <f aca="false">LN(F341)</f>
        <v>1.98742486068972</v>
      </c>
      <c r="O341" s="10" t="n">
        <f aca="false">LN(G341)</f>
        <v>-0.336896619198362</v>
      </c>
      <c r="P341" s="10" t="n">
        <f aca="false">LN(I341)</f>
        <v>8.45796452036531</v>
      </c>
      <c r="Q341" s="10" t="n">
        <f aca="false">LN(J341)</f>
        <v>10.1569576116322</v>
      </c>
      <c r="R341" s="10" t="n">
        <f aca="false">LN(M341)</f>
        <v>5.39823039103489</v>
      </c>
      <c r="S341" s="3" t="n">
        <v>1</v>
      </c>
      <c r="T341" s="3" t="s">
        <v>47</v>
      </c>
      <c r="U341" s="15" t="n">
        <v>0.081074660876</v>
      </c>
      <c r="V341" s="15" t="n">
        <v>0.079331405354</v>
      </c>
      <c r="W341" s="15" t="n">
        <v>0.079559673385</v>
      </c>
      <c r="X341" s="15" t="n">
        <v>0.080346060218</v>
      </c>
      <c r="Y341" s="15" t="n">
        <v>0.995028741612</v>
      </c>
    </row>
    <row r="342" customFormat="false" ht="15" hidden="false" customHeight="true" outlineLevel="0" collapsed="false">
      <c r="A342" s="3" t="s">
        <v>25</v>
      </c>
      <c r="B342" s="9" t="n">
        <v>45778</v>
      </c>
      <c r="C342" s="3" t="n">
        <v>2025</v>
      </c>
      <c r="D342" s="3" t="n">
        <v>5</v>
      </c>
      <c r="E342" s="3" t="n">
        <v>31</v>
      </c>
      <c r="F342" s="10" t="n">
        <f aca="false">Annual_Data!$C$26*U342</f>
        <v>7.28531353503</v>
      </c>
      <c r="G342" s="11" t="n">
        <f aca="false">Annual_Data!$D$26*V342</f>
        <v>0.723330800154</v>
      </c>
      <c r="H342" s="12" t="n">
        <f aca="false">Annual_Data!$E$25+(Annual_Data!$E$26-Annual_Data!$E$25)*D342/12</f>
        <v>59.75</v>
      </c>
      <c r="I342" s="13" t="n">
        <f aca="false">Annual_Data!$F$26*Y342</f>
        <v>4703.05044657152</v>
      </c>
      <c r="J342" s="13" t="n">
        <f aca="false">Annual_Data!$H$26*W342</f>
        <v>27626.792706901</v>
      </c>
      <c r="K342" s="13" t="n">
        <f aca="false">Annual_Data!$I$26*X342</f>
        <v>31788.0801410282</v>
      </c>
      <c r="L342" s="12" t="n">
        <f aca="false">K342*0.0036</f>
        <v>114.437088507702</v>
      </c>
      <c r="M342" s="14" t="n">
        <f aca="false">K342/(I342*E342/1000)</f>
        <v>218.033370401266</v>
      </c>
      <c r="N342" s="10" t="n">
        <f aca="false">LN(F342)</f>
        <v>1.9858604771603</v>
      </c>
      <c r="O342" s="10" t="n">
        <f aca="false">LN(G342)</f>
        <v>-0.323888623213118</v>
      </c>
      <c r="P342" s="10" t="n">
        <f aca="false">LN(I342)</f>
        <v>8.45596660835393</v>
      </c>
      <c r="Q342" s="10" t="n">
        <f aca="false">LN(J342)</f>
        <v>10.226541331082</v>
      </c>
      <c r="R342" s="10" t="n">
        <f aca="false">LN(M342)</f>
        <v>5.38464812630944</v>
      </c>
      <c r="S342" s="3" t="n">
        <v>1</v>
      </c>
      <c r="T342" s="3" t="s">
        <v>47</v>
      </c>
      <c r="U342" s="15" t="n">
        <v>0.080947928167</v>
      </c>
      <c r="V342" s="15" t="n">
        <v>0.080370088906</v>
      </c>
      <c r="W342" s="15" t="n">
        <v>0.085292887442</v>
      </c>
      <c r="X342" s="15" t="n">
        <v>0.081740754151</v>
      </c>
      <c r="Y342" s="15" t="n">
        <v>0.99304274632</v>
      </c>
    </row>
    <row r="343" customFormat="false" ht="15" hidden="false" customHeight="true" outlineLevel="0" collapsed="false">
      <c r="A343" s="3" t="s">
        <v>25</v>
      </c>
      <c r="B343" s="9" t="n">
        <v>45809</v>
      </c>
      <c r="C343" s="3" t="n">
        <v>2025</v>
      </c>
      <c r="D343" s="3" t="n">
        <v>6</v>
      </c>
      <c r="E343" s="3" t="n">
        <v>30</v>
      </c>
      <c r="F343" s="10" t="n">
        <f aca="false">Annual_Data!$C$26*U343</f>
        <v>7.16893217793</v>
      </c>
      <c r="G343" s="11" t="n">
        <f aca="false">Annual_Data!$D$26*V343</f>
        <v>0.789124974579</v>
      </c>
      <c r="H343" s="12" t="n">
        <f aca="false">Annual_Data!$E$25+(Annual_Data!$E$26-Annual_Data!$E$25)*D343/12</f>
        <v>59.5</v>
      </c>
      <c r="I343" s="13" t="n">
        <f aca="false">Annual_Data!$F$26*Y343</f>
        <v>4683.41576750285</v>
      </c>
      <c r="J343" s="13" t="n">
        <f aca="false">Annual_Data!$H$26*W343</f>
        <v>25471.7292278552</v>
      </c>
      <c r="K343" s="13" t="n">
        <f aca="false">Annual_Data!$I$26*X343</f>
        <v>31321.1037254953</v>
      </c>
      <c r="L343" s="12" t="n">
        <f aca="false">K343*0.0036</f>
        <v>112.755973411783</v>
      </c>
      <c r="M343" s="14" t="n">
        <f aca="false">K343/(I343*E343/1000)</f>
        <v>222.922081377907</v>
      </c>
      <c r="N343" s="10" t="n">
        <f aca="false">LN(F343)</f>
        <v>1.96975671436149</v>
      </c>
      <c r="O343" s="10" t="n">
        <f aca="false">LN(G343)</f>
        <v>-0.236830574508509</v>
      </c>
      <c r="P343" s="10" t="n">
        <f aca="false">LN(I343)</f>
        <v>8.45178298754091</v>
      </c>
      <c r="Q343" s="10" t="n">
        <f aca="false">LN(J343)</f>
        <v>10.1453244583998</v>
      </c>
      <c r="R343" s="10" t="n">
        <f aca="false">LN(M343)</f>
        <v>5.40682229954052</v>
      </c>
      <c r="S343" s="3" t="n">
        <v>1</v>
      </c>
      <c r="T343" s="3" t="s">
        <v>47</v>
      </c>
      <c r="U343" s="15" t="n">
        <v>0.079654801977</v>
      </c>
      <c r="V343" s="15" t="n">
        <v>0.087680552731</v>
      </c>
      <c r="W343" s="15" t="n">
        <v>0.078639506114</v>
      </c>
      <c r="X343" s="15" t="n">
        <v>0.080539957997</v>
      </c>
      <c r="Y343" s="15" t="n">
        <v>0.988896910368</v>
      </c>
    </row>
    <row r="344" customFormat="false" ht="15" hidden="false" customHeight="true" outlineLevel="0" collapsed="false">
      <c r="A344" s="3" t="s">
        <v>25</v>
      </c>
      <c r="B344" s="9" t="n">
        <v>45839</v>
      </c>
      <c r="C344" s="3" t="n">
        <v>2025</v>
      </c>
      <c r="D344" s="3" t="n">
        <v>7</v>
      </c>
      <c r="E344" s="3" t="n">
        <v>31</v>
      </c>
      <c r="F344" s="10" t="n">
        <f aca="false">Annual_Data!$C$26*U344</f>
        <v>7.67882678022</v>
      </c>
      <c r="G344" s="11" t="n">
        <f aca="false">Annual_Data!$D$26*V344</f>
        <v>0.84119512239</v>
      </c>
      <c r="H344" s="12" t="n">
        <f aca="false">Annual_Data!$E$25+(Annual_Data!$E$26-Annual_Data!$E$25)*D344/12</f>
        <v>59.25</v>
      </c>
      <c r="I344" s="13" t="n">
        <f aca="false">Annual_Data!$F$26*Y344</f>
        <v>4726.06525847821</v>
      </c>
      <c r="J344" s="13" t="n">
        <f aca="false">Annual_Data!$H$26*W344</f>
        <v>27629.2869279603</v>
      </c>
      <c r="K344" s="13" t="n">
        <f aca="false">Annual_Data!$I$26*X344</f>
        <v>33378.118148158</v>
      </c>
      <c r="L344" s="12" t="n">
        <f aca="false">K344*0.0036</f>
        <v>120.161225333369</v>
      </c>
      <c r="M344" s="14" t="n">
        <f aca="false">K344/(I344*E344/1000)</f>
        <v>227.824507230135</v>
      </c>
      <c r="N344" s="10" t="n">
        <f aca="false">LN(F344)</f>
        <v>2.03846677249794</v>
      </c>
      <c r="O344" s="10" t="n">
        <f aca="false">LN(G344)</f>
        <v>-0.172931633565553</v>
      </c>
      <c r="P344" s="10" t="n">
        <f aca="false">LN(I344)</f>
        <v>8.46084826604725</v>
      </c>
      <c r="Q344" s="10" t="n">
        <f aca="false">LN(J344)</f>
        <v>10.226631609693</v>
      </c>
      <c r="R344" s="10" t="n">
        <f aca="false">LN(M344)</f>
        <v>5.42857562744837</v>
      </c>
      <c r="S344" s="3" t="n">
        <v>1</v>
      </c>
      <c r="T344" s="3" t="s">
        <v>47</v>
      </c>
      <c r="U344" s="15" t="n">
        <v>0.085320297558</v>
      </c>
      <c r="V344" s="15" t="n">
        <v>0.09346612471</v>
      </c>
      <c r="W344" s="15" t="n">
        <v>0.085300587913</v>
      </c>
      <c r="X344" s="15" t="n">
        <v>0.085829422144</v>
      </c>
      <c r="Y344" s="15" t="n">
        <v>0.997902292753</v>
      </c>
    </row>
    <row r="345" customFormat="false" ht="15" hidden="false" customHeight="true" outlineLevel="0" collapsed="false">
      <c r="A345" s="3" t="s">
        <v>25</v>
      </c>
      <c r="B345" s="9" t="n">
        <v>45870</v>
      </c>
      <c r="C345" s="3" t="n">
        <v>2025</v>
      </c>
      <c r="D345" s="3" t="n">
        <v>8</v>
      </c>
      <c r="E345" s="3" t="n">
        <v>31</v>
      </c>
      <c r="F345" s="10" t="n">
        <f aca="false">Annual_Data!$C$26*U345</f>
        <v>7.73084245617</v>
      </c>
      <c r="G345" s="11" t="n">
        <f aca="false">Annual_Data!$D$26*V345</f>
        <v>0.799202311614</v>
      </c>
      <c r="H345" s="12" t="n">
        <f aca="false">Annual_Data!$E$25+(Annual_Data!$E$26-Annual_Data!$E$25)*D345/12</f>
        <v>59</v>
      </c>
      <c r="I345" s="13" t="n">
        <f aca="false">Annual_Data!$F$26*Y345</f>
        <v>4746.39892554867</v>
      </c>
      <c r="J345" s="13" t="n">
        <f aca="false">Annual_Data!$H$26*W345</f>
        <v>27548.3359295941</v>
      </c>
      <c r="K345" s="13" t="n">
        <f aca="false">Annual_Data!$I$26*X345</f>
        <v>33168.7051549924</v>
      </c>
      <c r="L345" s="12" t="n">
        <f aca="false">K345*0.0036</f>
        <v>119.407338557973</v>
      </c>
      <c r="M345" s="14" t="n">
        <f aca="false">K345/(I345*E345/1000)</f>
        <v>225.425263992643</v>
      </c>
      <c r="N345" s="10" t="n">
        <f aca="false">LN(F345)</f>
        <v>2.04521784193512</v>
      </c>
      <c r="O345" s="10" t="n">
        <f aca="false">LN(G345)</f>
        <v>-0.224141159242066</v>
      </c>
      <c r="P345" s="10" t="n">
        <f aca="false">LN(I345)</f>
        <v>8.46514148857256</v>
      </c>
      <c r="Q345" s="10" t="n">
        <f aca="false">LN(J345)</f>
        <v>10.2236974109272</v>
      </c>
      <c r="R345" s="10" t="n">
        <f aca="false">LN(M345)</f>
        <v>5.41798868047387</v>
      </c>
      <c r="S345" s="3" t="n">
        <v>1</v>
      </c>
      <c r="T345" s="3" t="s">
        <v>47</v>
      </c>
      <c r="U345" s="15" t="n">
        <v>0.085898249513</v>
      </c>
      <c r="V345" s="15" t="n">
        <v>0.088800256846</v>
      </c>
      <c r="W345" s="15" t="n">
        <v>0.085050665873</v>
      </c>
      <c r="X345" s="15" t="n">
        <v>0.085290931744</v>
      </c>
      <c r="Y345" s="15" t="n">
        <v>1.002195719077</v>
      </c>
    </row>
    <row r="346" customFormat="false" ht="15" hidden="false" customHeight="true" outlineLevel="0" collapsed="false">
      <c r="A346" s="3" t="s">
        <v>25</v>
      </c>
      <c r="B346" s="9" t="n">
        <v>45901</v>
      </c>
      <c r="C346" s="3" t="n">
        <v>2025</v>
      </c>
      <c r="D346" s="3" t="n">
        <v>9</v>
      </c>
      <c r="E346" s="3" t="n">
        <v>30</v>
      </c>
      <c r="F346" s="10" t="n">
        <f aca="false">Annual_Data!$C$26*U346</f>
        <v>7.32011698404</v>
      </c>
      <c r="G346" s="11" t="n">
        <f aca="false">Annual_Data!$D$26*V346</f>
        <v>0.72369229968</v>
      </c>
      <c r="H346" s="12" t="n">
        <f aca="false">Annual_Data!$E$25+(Annual_Data!$E$26-Annual_Data!$E$25)*D346/12</f>
        <v>58.75</v>
      </c>
      <c r="I346" s="13" t="n">
        <f aca="false">Annual_Data!$F$26*Y346</f>
        <v>4811.3312652617</v>
      </c>
      <c r="J346" s="13" t="n">
        <f aca="false">Annual_Data!$H$26*W346</f>
        <v>26245.1286791113</v>
      </c>
      <c r="K346" s="13" t="n">
        <f aca="false">Annual_Data!$I$26*X346</f>
        <v>31864.1988184431</v>
      </c>
      <c r="L346" s="12" t="n">
        <f aca="false">K346*0.0036</f>
        <v>114.711115746395</v>
      </c>
      <c r="M346" s="14" t="n">
        <f aca="false">K346/(I346*E346/1000)</f>
        <v>220.758019362235</v>
      </c>
      <c r="N346" s="10" t="n">
        <f aca="false">LN(F346)</f>
        <v>1.99062630927175</v>
      </c>
      <c r="O346" s="10" t="n">
        <f aca="false">LN(G346)</f>
        <v>-0.323388977376694</v>
      </c>
      <c r="P346" s="10" t="n">
        <f aca="false">LN(I346)</f>
        <v>8.47872909513064</v>
      </c>
      <c r="Q346" s="10" t="n">
        <f aca="false">LN(J346)</f>
        <v>10.1752356766697</v>
      </c>
      <c r="R346" s="10" t="n">
        <f aca="false">LN(M346)</f>
        <v>5.39706716662598</v>
      </c>
      <c r="S346" s="3" t="n">
        <v>1</v>
      </c>
      <c r="T346" s="3" t="s">
        <v>47</v>
      </c>
      <c r="U346" s="15" t="n">
        <v>0.081334633156</v>
      </c>
      <c r="V346" s="15" t="n">
        <v>0.08041025552</v>
      </c>
      <c r="W346" s="15" t="n">
        <v>0.081027241565</v>
      </c>
      <c r="X346" s="15" t="n">
        <v>0.081936487837</v>
      </c>
      <c r="Y346" s="15" t="n">
        <v>1.015906094861</v>
      </c>
    </row>
    <row r="347" customFormat="false" ht="15" hidden="false" customHeight="true" outlineLevel="0" collapsed="false">
      <c r="A347" s="3" t="s">
        <v>25</v>
      </c>
      <c r="B347" s="9" t="n">
        <v>45931</v>
      </c>
      <c r="C347" s="3" t="n">
        <v>2025</v>
      </c>
      <c r="D347" s="3" t="n">
        <v>10</v>
      </c>
      <c r="E347" s="3" t="n">
        <v>31</v>
      </c>
      <c r="F347" s="10" t="n">
        <f aca="false">Annual_Data!$C$26*U347</f>
        <v>7.50432086793</v>
      </c>
      <c r="G347" s="11" t="n">
        <f aca="false">Annual_Data!$D$26*V347</f>
        <v>0.724378851846</v>
      </c>
      <c r="H347" s="12" t="n">
        <f aca="false">Annual_Data!$E$25+(Annual_Data!$E$26-Annual_Data!$E$25)*D347/12</f>
        <v>58.5</v>
      </c>
      <c r="I347" s="13" t="n">
        <f aca="false">Annual_Data!$F$26*Y347</f>
        <v>4896.8229868736</v>
      </c>
      <c r="J347" s="13" t="n">
        <f aca="false">Annual_Data!$H$26*W347</f>
        <v>27336.6659691281</v>
      </c>
      <c r="K347" s="13" t="n">
        <f aca="false">Annual_Data!$I$26*X347</f>
        <v>32832.0001852355</v>
      </c>
      <c r="L347" s="12" t="n">
        <f aca="false">K347*0.0036</f>
        <v>118.195200666848</v>
      </c>
      <c r="M347" s="14" t="n">
        <f aca="false">K347/(I347*E347/1000)</f>
        <v>216.282431079885</v>
      </c>
      <c r="N347" s="10" t="n">
        <f aca="false">LN(F347)</f>
        <v>2.01547897037531</v>
      </c>
      <c r="O347" s="10" t="n">
        <f aca="false">LN(G347)</f>
        <v>-0.322440747427194</v>
      </c>
      <c r="P347" s="10" t="n">
        <f aca="false">LN(I347)</f>
        <v>8.49634190379018</v>
      </c>
      <c r="Q347" s="10" t="n">
        <f aca="false">LN(J347)</f>
        <v>10.2159841558458</v>
      </c>
      <c r="R347" s="10" t="n">
        <f aca="false">LN(M347)</f>
        <v>5.37658510487917</v>
      </c>
      <c r="S347" s="3" t="n">
        <v>1</v>
      </c>
      <c r="T347" s="3" t="s">
        <v>47</v>
      </c>
      <c r="U347" s="15" t="n">
        <v>0.083381342977</v>
      </c>
      <c r="V347" s="15" t="n">
        <v>0.080486539094</v>
      </c>
      <c r="W347" s="15" t="n">
        <v>0.084397171915</v>
      </c>
      <c r="X347" s="15" t="n">
        <v>0.084425119212</v>
      </c>
      <c r="Y347" s="15" t="n">
        <v>1.03395755635</v>
      </c>
    </row>
    <row r="348" customFormat="false" ht="15" hidden="false" customHeight="true" outlineLevel="0" collapsed="false">
      <c r="A348" s="3" t="s">
        <v>25</v>
      </c>
      <c r="B348" s="9" t="n">
        <v>45962</v>
      </c>
      <c r="C348" s="3" t="n">
        <v>2025</v>
      </c>
      <c r="D348" s="3" t="n">
        <v>11</v>
      </c>
      <c r="E348" s="3" t="n">
        <v>30</v>
      </c>
      <c r="F348" s="10" t="n">
        <f aca="false">Annual_Data!$C$26*U348</f>
        <v>7.45440423012</v>
      </c>
      <c r="G348" s="11" t="n">
        <f aca="false">Annual_Data!$D$26*V348</f>
        <v>0.752646867273</v>
      </c>
      <c r="H348" s="12" t="n">
        <f aca="false">Annual_Data!$E$25+(Annual_Data!$E$26-Annual_Data!$E$25)*D348/12</f>
        <v>58.25</v>
      </c>
      <c r="I348" s="13" t="n">
        <f aca="false">Annual_Data!$F$26*Y348</f>
        <v>4781.89198649869</v>
      </c>
      <c r="J348" s="13" t="n">
        <f aca="false">Annual_Data!$H$26*W348</f>
        <v>26149.7432751727</v>
      </c>
      <c r="K348" s="13" t="n">
        <f aca="false">Annual_Data!$I$26*X348</f>
        <v>32605.0744493996</v>
      </c>
      <c r="L348" s="12" t="n">
        <f aca="false">K348*0.0036</f>
        <v>117.378268017838</v>
      </c>
      <c r="M348" s="14" t="n">
        <f aca="false">K348/(I348*E348/1000)</f>
        <v>227.281548401466</v>
      </c>
      <c r="N348" s="10" t="n">
        <f aca="false">LN(F348)</f>
        <v>2.00880502954643</v>
      </c>
      <c r="O348" s="10" t="n">
        <f aca="false">LN(G348)</f>
        <v>-0.284159128946958</v>
      </c>
      <c r="P348" s="10" t="n">
        <f aca="false">LN(I348)</f>
        <v>8.47259156024721</v>
      </c>
      <c r="Q348" s="10" t="n">
        <f aca="false">LN(J348)</f>
        <v>10.1715946520519</v>
      </c>
      <c r="R348" s="10" t="n">
        <f aca="false">LN(M348)</f>
        <v>5.42618955027117</v>
      </c>
      <c r="S348" s="3" t="n">
        <v>1</v>
      </c>
      <c r="T348" s="3" t="s">
        <v>47</v>
      </c>
      <c r="U348" s="15" t="n">
        <v>0.082826713668</v>
      </c>
      <c r="V348" s="15" t="n">
        <v>0.083627429697</v>
      </c>
      <c r="W348" s="15" t="n">
        <v>0.080732755824</v>
      </c>
      <c r="X348" s="15" t="n">
        <v>0.083841596058</v>
      </c>
      <c r="Y348" s="15" t="n">
        <v>1.009690030933</v>
      </c>
    </row>
    <row r="349" customFormat="false" ht="15" hidden="false" customHeight="true" outlineLevel="0" collapsed="false">
      <c r="A349" s="3" t="s">
        <v>25</v>
      </c>
      <c r="B349" s="9" t="n">
        <v>45992</v>
      </c>
      <c r="C349" s="3" t="n">
        <v>2025</v>
      </c>
      <c r="D349" s="3" t="n">
        <v>12</v>
      </c>
      <c r="E349" s="3" t="n">
        <v>31</v>
      </c>
      <c r="F349" s="10" t="n">
        <f aca="false">Annual_Data!$C$26*U349</f>
        <v>7.78864864455</v>
      </c>
      <c r="G349" s="11" t="n">
        <f aca="false">Annual_Data!$D$26*V349</f>
        <v>0.786811970241</v>
      </c>
      <c r="H349" s="12" t="n">
        <f aca="false">Annual_Data!$E$25+(Annual_Data!$E$26-Annual_Data!$E$25)*D349/12</f>
        <v>58</v>
      </c>
      <c r="I349" s="13" t="n">
        <f aca="false">Annual_Data!$F$26*Y349</f>
        <v>4769.89771598259</v>
      </c>
      <c r="J349" s="13" t="n">
        <f aca="false">Annual_Data!$H$26*W349</f>
        <v>26839.4930805169</v>
      </c>
      <c r="K349" s="13" t="n">
        <f aca="false">Annual_Data!$I$26*X349</f>
        <v>34284.3123398483</v>
      </c>
      <c r="L349" s="12" t="n">
        <f aca="false">K349*0.0036</f>
        <v>123.423524423454</v>
      </c>
      <c r="M349" s="14" t="n">
        <f aca="false">K349/(I349*E349/1000)</f>
        <v>231.859386762998</v>
      </c>
      <c r="N349" s="10" t="n">
        <f aca="false">LN(F349)</f>
        <v>2.05266737173433</v>
      </c>
      <c r="O349" s="10" t="n">
        <f aca="false">LN(G349)</f>
        <v>-0.239765978753526</v>
      </c>
      <c r="P349" s="10" t="n">
        <f aca="false">LN(I349)</f>
        <v>8.47008014046225</v>
      </c>
      <c r="Q349" s="10" t="n">
        <f aca="false">LN(J349)</f>
        <v>10.1976297041903</v>
      </c>
      <c r="R349" s="10" t="n">
        <f aca="false">LN(M349)</f>
        <v>5.44613109637978</v>
      </c>
      <c r="S349" s="3" t="n">
        <v>1</v>
      </c>
      <c r="T349" s="3" t="s">
        <v>47</v>
      </c>
      <c r="U349" s="15" t="n">
        <v>0.086540540495</v>
      </c>
      <c r="V349" s="15" t="n">
        <v>0.087423552249</v>
      </c>
      <c r="W349" s="15" t="n">
        <v>0.082862237633</v>
      </c>
      <c r="X349" s="15" t="n">
        <v>0.088159635114</v>
      </c>
      <c r="Y349" s="15" t="n">
        <v>1.007157456922</v>
      </c>
    </row>
    <row r="350" customFormat="false" ht="15" hidden="false" customHeight="true" outlineLevel="0" collapsed="false">
      <c r="A350" s="16" t="s">
        <v>25</v>
      </c>
      <c r="B350" s="17" t="n">
        <v>46023</v>
      </c>
      <c r="C350" s="16" t="n">
        <v>2026</v>
      </c>
      <c r="D350" s="16" t="n">
        <v>1</v>
      </c>
      <c r="E350" s="16" t="n">
        <v>31</v>
      </c>
      <c r="F350" s="18" t="n">
        <f aca="false">Assumptions_2026!$G$26*U350</f>
        <v>7.50809964148551</v>
      </c>
      <c r="G350" s="19" t="n">
        <f aca="false">Assumptions_2026!$G$27*V350</f>
        <v>0.785705215238257</v>
      </c>
      <c r="H350" s="20" t="n">
        <f aca="false">Annual_Data!$E$26+(Assumptions_2026!$G$28-Annual_Data!$E$26)*D350/12</f>
        <v>57.9200826650628</v>
      </c>
      <c r="I350" s="21" t="n">
        <f aca="false">Assumptions_2026!$G$29*Y350</f>
        <v>4760.36518108103</v>
      </c>
      <c r="J350" s="21" t="n">
        <f aca="false">Assumptions_2026!$G$30*W350</f>
        <v>26687.8157573461</v>
      </c>
      <c r="K350" s="21" t="n">
        <f aca="false">Assumptions_2026!$G$31*X350</f>
        <v>33253.9349432605</v>
      </c>
      <c r="L350" s="20" t="n">
        <f aca="false">K350*0.0036</f>
        <v>119.714165795738</v>
      </c>
      <c r="M350" s="22" t="n">
        <f aca="false">K350/(I350*E350/1000)</f>
        <v>225.341447138989</v>
      </c>
      <c r="N350" s="18" t="n">
        <f aca="false">LN(F350)</f>
        <v>2.01598239001147</v>
      </c>
      <c r="O350" s="18" t="n">
        <f aca="false">LN(G350)</f>
        <v>-0.241173601125741</v>
      </c>
      <c r="P350" s="18" t="n">
        <f aca="false">LN(I350)</f>
        <v>8.46807966299724</v>
      </c>
      <c r="Q350" s="18" t="n">
        <f aca="false">LN(J350)</f>
        <v>10.191962401558</v>
      </c>
      <c r="R350" s="18" t="n">
        <f aca="false">LN(M350)</f>
        <v>5.41761679473985</v>
      </c>
      <c r="S350" s="16" t="n">
        <v>1</v>
      </c>
      <c r="T350" s="16" t="s">
        <v>48</v>
      </c>
      <c r="U350" s="23" t="n">
        <v>0.085218406629</v>
      </c>
      <c r="V350" s="23" t="n">
        <v>0.081984359679</v>
      </c>
      <c r="W350" s="23" t="n">
        <v>0.079211842682</v>
      </c>
      <c r="X350" s="23" t="n">
        <v>0.086997795028</v>
      </c>
      <c r="Y350" s="23" t="n">
        <v>0.94575281951</v>
      </c>
    </row>
    <row r="351" customFormat="false" ht="15" hidden="false" customHeight="true" outlineLevel="0" collapsed="false">
      <c r="A351" s="16" t="s">
        <v>25</v>
      </c>
      <c r="B351" s="17" t="n">
        <v>46054</v>
      </c>
      <c r="C351" s="16" t="n">
        <v>2026</v>
      </c>
      <c r="D351" s="16" t="n">
        <v>2</v>
      </c>
      <c r="E351" s="16" t="n">
        <v>28</v>
      </c>
      <c r="F351" s="18" t="n">
        <f aca="false">Assumptions_2026!$G$26*U351</f>
        <v>6.93425286696069</v>
      </c>
      <c r="G351" s="19" t="n">
        <f aca="false">Assumptions_2026!$G$27*V351</f>
        <v>0.719275575405366</v>
      </c>
      <c r="H351" s="20" t="n">
        <f aca="false">Annual_Data!$E$26+(Assumptions_2026!$G$28-Annual_Data!$E$26)*D351/12</f>
        <v>57.8401653301256</v>
      </c>
      <c r="I351" s="21" t="n">
        <f aca="false">Assumptions_2026!$G$29*Y351</f>
        <v>4858.27012365239</v>
      </c>
      <c r="J351" s="21" t="n">
        <f aca="false">Assumptions_2026!$G$30*W351</f>
        <v>25586.7566199783</v>
      </c>
      <c r="K351" s="21" t="n">
        <f aca="false">Assumptions_2026!$G$31*X351</f>
        <v>30195.859969635</v>
      </c>
      <c r="L351" s="20" t="n">
        <f aca="false">K351*0.0036</f>
        <v>108.705095890686</v>
      </c>
      <c r="M351" s="22" t="n">
        <f aca="false">K351/(I351*E351/1000)</f>
        <v>221.976864788523</v>
      </c>
      <c r="N351" s="18" t="n">
        <f aca="false">LN(F351)</f>
        <v>1.93647331428765</v>
      </c>
      <c r="O351" s="18" t="n">
        <f aca="false">LN(G351)</f>
        <v>-0.329510718746287</v>
      </c>
      <c r="P351" s="18" t="n">
        <f aca="false">LN(I351)</f>
        <v>8.48843771189697</v>
      </c>
      <c r="Q351" s="18" t="n">
        <f aca="false">LN(J351)</f>
        <v>10.1498301770796</v>
      </c>
      <c r="R351" s="18" t="n">
        <f aca="false">LN(M351)</f>
        <v>5.40257316377745</v>
      </c>
      <c r="S351" s="16" t="n">
        <v>1</v>
      </c>
      <c r="T351" s="16" t="s">
        <v>48</v>
      </c>
      <c r="U351" s="23" t="n">
        <v>0.07870513295</v>
      </c>
      <c r="V351" s="23" t="n">
        <v>0.075052763223</v>
      </c>
      <c r="W351" s="23" t="n">
        <v>0.075943799918</v>
      </c>
      <c r="X351" s="23" t="n">
        <v>0.078997364998</v>
      </c>
      <c r="Y351" s="23" t="n">
        <v>0.965203822103</v>
      </c>
    </row>
    <row r="352" customFormat="false" ht="15" hidden="false" customHeight="true" outlineLevel="0" collapsed="false">
      <c r="A352" s="16" t="s">
        <v>25</v>
      </c>
      <c r="B352" s="17" t="n">
        <v>46082</v>
      </c>
      <c r="C352" s="16" t="n">
        <v>2026</v>
      </c>
      <c r="D352" s="16" t="n">
        <v>3</v>
      </c>
      <c r="E352" s="16" t="n">
        <v>31</v>
      </c>
      <c r="F352" s="18" t="n">
        <f aca="false">Assumptions_2026!$G$26*U352</f>
        <v>7.49281351500532</v>
      </c>
      <c r="G352" s="19" t="n">
        <f aca="false">Assumptions_2026!$G$27*V352</f>
        <v>0.778529615537141</v>
      </c>
      <c r="H352" s="20" t="n">
        <f aca="false">Annual_Data!$E$26+(Assumptions_2026!$G$28-Annual_Data!$E$26)*D352/12</f>
        <v>57.7602479951885</v>
      </c>
      <c r="I352" s="21" t="n">
        <f aca="false">Assumptions_2026!$G$29*Y352</f>
        <v>4880.82279701352</v>
      </c>
      <c r="J352" s="21" t="n">
        <f aca="false">Assumptions_2026!$G$30*W352</f>
        <v>26797.4912952042</v>
      </c>
      <c r="K352" s="21" t="n">
        <f aca="false">Assumptions_2026!$G$31*X352</f>
        <v>33037.7602364174</v>
      </c>
      <c r="L352" s="20" t="n">
        <f aca="false">K352*0.0036</f>
        <v>118.935936851103</v>
      </c>
      <c r="M352" s="22" t="n">
        <f aca="false">K352/(I352*E352/1000)</f>
        <v>218.351340644217</v>
      </c>
      <c r="N352" s="18" t="n">
        <f aca="false">LN(F352)</f>
        <v>2.01394436317781</v>
      </c>
      <c r="O352" s="18" t="n">
        <f aca="false">LN(G352)</f>
        <v>-0.250348246636997</v>
      </c>
      <c r="P352" s="18" t="n">
        <f aca="false">LN(I352)</f>
        <v>8.4930690905802</v>
      </c>
      <c r="Q352" s="18" t="n">
        <f aca="false">LN(J352)</f>
        <v>10.1960635537295</v>
      </c>
      <c r="R352" s="18" t="n">
        <f aca="false">LN(M352)</f>
        <v>5.38610541979922</v>
      </c>
      <c r="S352" s="16" t="n">
        <v>1</v>
      </c>
      <c r="T352" s="16" t="s">
        <v>48</v>
      </c>
      <c r="U352" s="23" t="n">
        <v>0.085044906089</v>
      </c>
      <c r="V352" s="23" t="n">
        <v>0.081235622194</v>
      </c>
      <c r="W352" s="23" t="n">
        <v>0.079537369564</v>
      </c>
      <c r="X352" s="23" t="n">
        <v>0.086432246233</v>
      </c>
      <c r="Y352" s="23" t="n">
        <v>0.96968441416</v>
      </c>
    </row>
    <row r="353" customFormat="false" ht="15" hidden="false" customHeight="true" outlineLevel="0" collapsed="false">
      <c r="A353" s="16" t="s">
        <v>25</v>
      </c>
      <c r="B353" s="17" t="n">
        <v>46113</v>
      </c>
      <c r="C353" s="16" t="n">
        <v>2026</v>
      </c>
      <c r="D353" s="16" t="n">
        <v>4</v>
      </c>
      <c r="E353" s="16" t="n">
        <v>30</v>
      </c>
      <c r="F353" s="18" t="n">
        <f aca="false">Assumptions_2026!$G$26*U353</f>
        <v>7.14999423027139</v>
      </c>
      <c r="G353" s="19" t="n">
        <f aca="false">Assumptions_2026!$G$27*V353</f>
        <v>0.745204506443834</v>
      </c>
      <c r="H353" s="20" t="n">
        <f aca="false">Annual_Data!$E$26+(Assumptions_2026!$G$28-Annual_Data!$E$26)*D353/12</f>
        <v>57.6803306602513</v>
      </c>
      <c r="I353" s="21" t="n">
        <f aca="false">Assumptions_2026!$G$29*Y353</f>
        <v>4940.3267981964</v>
      </c>
      <c r="J353" s="21" t="n">
        <f aca="false">Assumptions_2026!$G$30*W353</f>
        <v>26929.8154070395</v>
      </c>
      <c r="K353" s="21" t="n">
        <f aca="false">Assumptions_2026!$G$31*X353</f>
        <v>31152.7454447568</v>
      </c>
      <c r="L353" s="20" t="n">
        <f aca="false">K353*0.0036</f>
        <v>112.149883601125</v>
      </c>
      <c r="M353" s="22" t="n">
        <f aca="false">K353/(I353*E353/1000)</f>
        <v>210.19355410611</v>
      </c>
      <c r="N353" s="18" t="n">
        <f aca="false">LN(F353)</f>
        <v>1.96711154975054</v>
      </c>
      <c r="O353" s="18" t="n">
        <f aca="false">LN(G353)</f>
        <v>-0.294096592978526</v>
      </c>
      <c r="P353" s="18" t="n">
        <f aca="false">LN(I353)</f>
        <v>8.50518676147498</v>
      </c>
      <c r="Q353" s="18" t="n">
        <f aca="false">LN(J353)</f>
        <v>10.2009893312348</v>
      </c>
      <c r="R353" s="18" t="n">
        <f aca="false">LN(M353)</f>
        <v>5.34802879244511</v>
      </c>
      <c r="S353" s="16" t="n">
        <v>1</v>
      </c>
      <c r="T353" s="16" t="s">
        <v>48</v>
      </c>
      <c r="U353" s="23" t="n">
        <v>0.081153839827</v>
      </c>
      <c r="V353" s="23" t="n">
        <v>0.077758315849</v>
      </c>
      <c r="W353" s="23" t="n">
        <v>0.079930119455</v>
      </c>
      <c r="X353" s="23" t="n">
        <v>0.081500735699</v>
      </c>
      <c r="Y353" s="23" t="n">
        <v>0.981506212436</v>
      </c>
    </row>
    <row r="354" customFormat="false" ht="15" hidden="false" customHeight="true" outlineLevel="0" collapsed="false">
      <c r="A354" s="16" t="s">
        <v>25</v>
      </c>
      <c r="B354" s="17" t="n">
        <v>46143</v>
      </c>
      <c r="C354" s="16" t="n">
        <v>2026</v>
      </c>
      <c r="D354" s="16" t="n">
        <v>5</v>
      </c>
      <c r="E354" s="16" t="n">
        <v>31</v>
      </c>
      <c r="F354" s="18" t="n">
        <f aca="false">Assumptions_2026!$G$26*U354</f>
        <v>7.16316330310415</v>
      </c>
      <c r="G354" s="19" t="n">
        <f aca="false">Assumptions_2026!$G$27*V354</f>
        <v>0.747695312315642</v>
      </c>
      <c r="H354" s="20" t="n">
        <f aca="false">Annual_Data!$E$26+(Assumptions_2026!$G$28-Annual_Data!$E$26)*D354/12</f>
        <v>57.6004133253141</v>
      </c>
      <c r="I354" s="21" t="n">
        <f aca="false">Assumptions_2026!$G$29*Y354</f>
        <v>4916.08587371324</v>
      </c>
      <c r="J354" s="21" t="n">
        <f aca="false">Assumptions_2026!$G$30*W354</f>
        <v>28328.2755833794</v>
      </c>
      <c r="K354" s="21" t="n">
        <f aca="false">Assumptions_2026!$G$31*X354</f>
        <v>31272.8018499571</v>
      </c>
      <c r="L354" s="20" t="n">
        <f aca="false">K354*0.0036</f>
        <v>112.582086659846</v>
      </c>
      <c r="M354" s="22" t="n">
        <f aca="false">K354/(I354*E354/1000)</f>
        <v>205.203913355172</v>
      </c>
      <c r="N354" s="18" t="n">
        <f aca="false">LN(F354)</f>
        <v>1.96895168551626</v>
      </c>
      <c r="O354" s="18" t="n">
        <f aca="false">LN(G354)</f>
        <v>-0.290759720468113</v>
      </c>
      <c r="P354" s="18" t="n">
        <f aca="false">LN(I354)</f>
        <v>8.50026793874191</v>
      </c>
      <c r="Q354" s="18" t="n">
        <f aca="false">LN(J354)</f>
        <v>10.2516157220478</v>
      </c>
      <c r="R354" s="18" t="n">
        <f aca="false">LN(M354)</f>
        <v>5.3240041840464</v>
      </c>
      <c r="S354" s="16" t="n">
        <v>1</v>
      </c>
      <c r="T354" s="16" t="s">
        <v>48</v>
      </c>
      <c r="U354" s="23" t="n">
        <v>0.081303311392</v>
      </c>
      <c r="V354" s="23" t="n">
        <v>0.078018218826</v>
      </c>
      <c r="W354" s="23" t="n">
        <v>0.084080875309</v>
      </c>
      <c r="X354" s="23" t="n">
        <v>0.081814823116</v>
      </c>
      <c r="Y354" s="23" t="n">
        <v>0.976690211603</v>
      </c>
    </row>
    <row r="355" customFormat="false" ht="15" hidden="false" customHeight="true" outlineLevel="0" collapsed="false">
      <c r="A355" s="16" t="s">
        <v>25</v>
      </c>
      <c r="B355" s="17" t="n">
        <v>46174</v>
      </c>
      <c r="C355" s="16" t="n">
        <v>2026</v>
      </c>
      <c r="D355" s="16" t="n">
        <v>6</v>
      </c>
      <c r="E355" s="16" t="n">
        <v>30</v>
      </c>
      <c r="F355" s="18" t="n">
        <f aca="false">Assumptions_2026!$G$26*U355</f>
        <v>7.11902901741984</v>
      </c>
      <c r="G355" s="19" t="n">
        <f aca="false">Assumptions_2026!$G$27*V355</f>
        <v>0.80017314618084</v>
      </c>
      <c r="H355" s="20" t="n">
        <f aca="false">Annual_Data!$E$26+(Assumptions_2026!$G$28-Annual_Data!$E$26)*D355/12</f>
        <v>57.5204959903769</v>
      </c>
      <c r="I355" s="21" t="n">
        <f aca="false">Assumptions_2026!$G$29*Y355</f>
        <v>4927.8970092762</v>
      </c>
      <c r="J355" s="21" t="n">
        <f aca="false">Assumptions_2026!$G$30*W355</f>
        <v>27147.3253149505</v>
      </c>
      <c r="K355" s="21" t="n">
        <f aca="false">Assumptions_2026!$G$31*X355</f>
        <v>30582.3786523588</v>
      </c>
      <c r="L355" s="20" t="n">
        <f aca="false">K355*0.0036</f>
        <v>110.096563148492</v>
      </c>
      <c r="M355" s="22" t="n">
        <f aca="false">K355/(I355*E355/1000)</f>
        <v>206.865650768749</v>
      </c>
      <c r="N355" s="18" t="n">
        <f aca="false">LN(F355)</f>
        <v>1.96277134216622</v>
      </c>
      <c r="O355" s="18" t="n">
        <f aca="false">LN(G355)</f>
        <v>-0.222927142006343</v>
      </c>
      <c r="P355" s="18" t="n">
        <f aca="false">LN(I355)</f>
        <v>8.50266760590329</v>
      </c>
      <c r="Q355" s="18" t="n">
        <f aca="false">LN(J355)</f>
        <v>10.209033805406</v>
      </c>
      <c r="R355" s="18" t="n">
        <f aca="false">LN(M355)</f>
        <v>5.33206955245149</v>
      </c>
      <c r="S355" s="16" t="n">
        <v>1</v>
      </c>
      <c r="T355" s="16" t="s">
        <v>48</v>
      </c>
      <c r="U355" s="23" t="n">
        <v>0.080802378575</v>
      </c>
      <c r="V355" s="23" t="n">
        <v>0.083494014994</v>
      </c>
      <c r="W355" s="23" t="n">
        <v>0.080575708467</v>
      </c>
      <c r="X355" s="23" t="n">
        <v>0.080008561814</v>
      </c>
      <c r="Y355" s="23" t="n">
        <v>0.979036757369</v>
      </c>
    </row>
    <row r="356" customFormat="false" ht="15" hidden="false" customHeight="true" outlineLevel="0" collapsed="false">
      <c r="A356" s="16" t="s">
        <v>25</v>
      </c>
      <c r="B356" s="17" t="n">
        <v>46204</v>
      </c>
      <c r="C356" s="16" t="n">
        <v>2026</v>
      </c>
      <c r="D356" s="16" t="n">
        <v>7</v>
      </c>
      <c r="E356" s="16" t="n">
        <v>31</v>
      </c>
      <c r="F356" s="18" t="n">
        <f aca="false">Assumptions_2026!$G$26*U356</f>
        <v>7.55543897660203</v>
      </c>
      <c r="G356" s="19" t="n">
        <f aca="false">Assumptions_2026!$G$27*V356</f>
        <v>0.869758786022124</v>
      </c>
      <c r="H356" s="20" t="n">
        <f aca="false">Annual_Data!$E$26+(Assumptions_2026!$G$28-Annual_Data!$E$26)*D356/12</f>
        <v>57.4405786554397</v>
      </c>
      <c r="I356" s="21" t="n">
        <f aca="false">Assumptions_2026!$G$29*Y356</f>
        <v>5056.2624087468</v>
      </c>
      <c r="J356" s="21" t="n">
        <f aca="false">Assumptions_2026!$G$30*W356</f>
        <v>28701.8149340935</v>
      </c>
      <c r="K356" s="21" t="n">
        <f aca="false">Assumptions_2026!$G$31*X356</f>
        <v>32847.591659082</v>
      </c>
      <c r="L356" s="20" t="n">
        <f aca="false">K356*0.0036</f>
        <v>118.251329972695</v>
      </c>
      <c r="M356" s="22" t="n">
        <f aca="false">K356/(I356*E356/1000)</f>
        <v>209.561855236218</v>
      </c>
      <c r="N356" s="18" t="n">
        <f aca="false">LN(F356)</f>
        <v>2.02226769815347</v>
      </c>
      <c r="O356" s="18" t="n">
        <f aca="false">LN(G356)</f>
        <v>-0.139539363222293</v>
      </c>
      <c r="P356" s="18" t="n">
        <f aca="false">LN(I356)</f>
        <v>8.52838283494407</v>
      </c>
      <c r="Q356" s="18" t="n">
        <f aca="false">LN(J356)</f>
        <v>10.26471563787</v>
      </c>
      <c r="R356" s="18" t="n">
        <f aca="false">LN(M356)</f>
        <v>5.34501894750817</v>
      </c>
      <c r="S356" s="16" t="n">
        <v>1</v>
      </c>
      <c r="T356" s="16" t="s">
        <v>48</v>
      </c>
      <c r="U356" s="23" t="n">
        <v>0.085755717387</v>
      </c>
      <c r="V356" s="23" t="n">
        <v>0.090754924066</v>
      </c>
      <c r="W356" s="23" t="n">
        <v>0.085189573771</v>
      </c>
      <c r="X356" s="23" t="n">
        <v>0.085934733775</v>
      </c>
      <c r="Y356" s="23" t="n">
        <v>1.004539409762</v>
      </c>
    </row>
    <row r="357" customFormat="false" ht="15" hidden="false" customHeight="true" outlineLevel="0" collapsed="false">
      <c r="A357" s="16" t="s">
        <v>25</v>
      </c>
      <c r="B357" s="17" t="n">
        <v>46235</v>
      </c>
      <c r="C357" s="16" t="n">
        <v>2026</v>
      </c>
      <c r="D357" s="16" t="n">
        <v>8</v>
      </c>
      <c r="E357" s="16" t="n">
        <v>31</v>
      </c>
      <c r="F357" s="18" t="n">
        <f aca="false">Assumptions_2026!$G$26*U357</f>
        <v>7.53503547812242</v>
      </c>
      <c r="G357" s="19" t="n">
        <f aca="false">Assumptions_2026!$G$27*V357</f>
        <v>0.884829303644641</v>
      </c>
      <c r="H357" s="20" t="n">
        <f aca="false">Annual_Data!$E$26+(Assumptions_2026!$G$28-Annual_Data!$E$26)*D357/12</f>
        <v>57.3606613205025</v>
      </c>
      <c r="I357" s="21" t="n">
        <f aca="false">Assumptions_2026!$G$29*Y357</f>
        <v>5089.62098603754</v>
      </c>
      <c r="J357" s="21" t="n">
        <f aca="false">Assumptions_2026!$G$30*W357</f>
        <v>28956.9370703774</v>
      </c>
      <c r="K357" s="21" t="n">
        <f aca="false">Assumptions_2026!$G$31*X357</f>
        <v>32789.3795306661</v>
      </c>
      <c r="L357" s="20" t="n">
        <f aca="false">K357*0.0036</f>
        <v>118.041766310398</v>
      </c>
      <c r="M357" s="22" t="n">
        <f aca="false">K357/(I357*E357/1000)</f>
        <v>207.819388368159</v>
      </c>
      <c r="N357" s="18" t="n">
        <f aca="false">LN(F357)</f>
        <v>2.01956354051096</v>
      </c>
      <c r="O357" s="18" t="n">
        <f aca="false">LN(G357)</f>
        <v>-0.122360529815108</v>
      </c>
      <c r="P357" s="18" t="n">
        <f aca="false">LN(I357)</f>
        <v>8.53495864430403</v>
      </c>
      <c r="Q357" s="18" t="n">
        <f aca="false">LN(J357)</f>
        <v>10.2735650767618</v>
      </c>
      <c r="R357" s="18" t="n">
        <f aca="false">LN(M357)</f>
        <v>5.33666937733557</v>
      </c>
      <c r="S357" s="16" t="n">
        <v>1</v>
      </c>
      <c r="T357" s="16" t="s">
        <v>48</v>
      </c>
      <c r="U357" s="23" t="n">
        <v>0.085524133669</v>
      </c>
      <c r="V357" s="23" t="n">
        <v>0.092327456249</v>
      </c>
      <c r="W357" s="23" t="n">
        <v>0.085946799267</v>
      </c>
      <c r="X357" s="23" t="n">
        <v>0.085782441217</v>
      </c>
      <c r="Y357" s="23" t="n">
        <v>1.011166835879</v>
      </c>
    </row>
    <row r="358" customFormat="false" ht="15" hidden="false" customHeight="true" outlineLevel="0" collapsed="false">
      <c r="A358" s="16" t="s">
        <v>25</v>
      </c>
      <c r="B358" s="17" t="n">
        <v>46266</v>
      </c>
      <c r="C358" s="16" t="n">
        <v>2026</v>
      </c>
      <c r="D358" s="16" t="n">
        <v>9</v>
      </c>
      <c r="E358" s="16" t="n">
        <v>30</v>
      </c>
      <c r="F358" s="18" t="n">
        <f aca="false">Assumptions_2026!$G$26*U358</f>
        <v>7.2324964428174</v>
      </c>
      <c r="G358" s="19" t="n">
        <f aca="false">Assumptions_2026!$G$27*V358</f>
        <v>0.821817210583078</v>
      </c>
      <c r="H358" s="20" t="n">
        <f aca="false">Annual_Data!$E$26+(Assumptions_2026!$G$28-Annual_Data!$E$26)*D358/12</f>
        <v>57.2807439855653</v>
      </c>
      <c r="I358" s="21" t="n">
        <f aca="false">Assumptions_2026!$G$29*Y358</f>
        <v>5178.61524439119</v>
      </c>
      <c r="J358" s="21" t="n">
        <f aca="false">Assumptions_2026!$G$30*W358</f>
        <v>29209.7146279312</v>
      </c>
      <c r="K358" s="21" t="n">
        <f aca="false">Assumptions_2026!$G$31*X358</f>
        <v>30806.5354136836</v>
      </c>
      <c r="L358" s="20" t="n">
        <f aca="false">K358*0.0036</f>
        <v>110.903527489261</v>
      </c>
      <c r="M358" s="22" t="n">
        <f aca="false">K358/(I358*E358/1000)</f>
        <v>198.293262837328</v>
      </c>
      <c r="N358" s="18" t="n">
        <f aca="false">LN(F358)</f>
        <v>1.97858426603497</v>
      </c>
      <c r="O358" s="18" t="n">
        <f aca="false">LN(G358)</f>
        <v>-0.19623728020761</v>
      </c>
      <c r="P358" s="18" t="n">
        <f aca="false">LN(I358)</f>
        <v>8.5522929721776</v>
      </c>
      <c r="Q358" s="18" t="n">
        <f aca="false">LN(J358)</f>
        <v>10.2822566256638</v>
      </c>
      <c r="R358" s="18" t="n">
        <f aca="false">LN(M358)</f>
        <v>5.28974706035116</v>
      </c>
      <c r="S358" s="16" t="n">
        <v>1</v>
      </c>
      <c r="T358" s="16" t="s">
        <v>48</v>
      </c>
      <c r="U358" s="23" t="n">
        <v>0.082090256155</v>
      </c>
      <c r="V358" s="23" t="n">
        <v>0.085752463489</v>
      </c>
      <c r="W358" s="23" t="n">
        <v>0.086697065842</v>
      </c>
      <c r="X358" s="23" t="n">
        <v>0.080594992984</v>
      </c>
      <c r="Y358" s="23" t="n">
        <v>1.028847532119</v>
      </c>
    </row>
    <row r="359" customFormat="false" ht="15" hidden="false" customHeight="true" outlineLevel="0" collapsed="false">
      <c r="A359" s="16" t="s">
        <v>25</v>
      </c>
      <c r="B359" s="17" t="n">
        <v>46296</v>
      </c>
      <c r="C359" s="16" t="n">
        <v>2026</v>
      </c>
      <c r="D359" s="16" t="n">
        <v>10</v>
      </c>
      <c r="E359" s="16" t="n">
        <v>31</v>
      </c>
      <c r="F359" s="18" t="n">
        <f aca="false">Assumptions_2026!$G$26*U359</f>
        <v>7.29941906030881</v>
      </c>
      <c r="G359" s="19" t="n">
        <f aca="false">Assumptions_2026!$G$27*V359</f>
        <v>0.781484535502854</v>
      </c>
      <c r="H359" s="20" t="n">
        <f aca="false">Annual_Data!$E$26+(Assumptions_2026!$G$28-Annual_Data!$E$26)*D359/12</f>
        <v>57.2008266506282</v>
      </c>
      <c r="I359" s="21" t="n">
        <f aca="false">Assumptions_2026!$G$29*Y359</f>
        <v>5189.18143597061</v>
      </c>
      <c r="J359" s="21" t="n">
        <f aca="false">Assumptions_2026!$G$30*W359</f>
        <v>30339.2139019365</v>
      </c>
      <c r="K359" s="21" t="n">
        <f aca="false">Assumptions_2026!$G$31*X359</f>
        <v>31534.1695700629</v>
      </c>
      <c r="L359" s="20" t="n">
        <f aca="false">K359*0.0036</f>
        <v>113.523010452227</v>
      </c>
      <c r="M359" s="22" t="n">
        <f aca="false">K359/(I359*E359/1000)</f>
        <v>196.029236789131</v>
      </c>
      <c r="N359" s="18" t="n">
        <f aca="false">LN(F359)</f>
        <v>1.98779476420801</v>
      </c>
      <c r="O359" s="18" t="n">
        <f aca="false">LN(G359)</f>
        <v>-0.246559917540511</v>
      </c>
      <c r="P359" s="18" t="n">
        <f aca="false">LN(I359)</f>
        <v>8.55433124425475</v>
      </c>
      <c r="Q359" s="18" t="n">
        <f aca="false">LN(J359)</f>
        <v>10.3201963429405</v>
      </c>
      <c r="R359" s="18" t="n">
        <f aca="false">LN(M359)</f>
        <v>5.27826381539767</v>
      </c>
      <c r="S359" s="16" t="n">
        <v>1</v>
      </c>
      <c r="T359" s="16" t="s">
        <v>48</v>
      </c>
      <c r="U359" s="23" t="n">
        <v>0.082849841017</v>
      </c>
      <c r="V359" s="23" t="n">
        <v>0.081543953126</v>
      </c>
      <c r="W359" s="23" t="n">
        <v>0.090049521495</v>
      </c>
      <c r="X359" s="23" t="n">
        <v>0.08249860431</v>
      </c>
      <c r="Y359" s="23" t="n">
        <v>1.030946741969</v>
      </c>
    </row>
    <row r="360" customFormat="false" ht="15" hidden="false" customHeight="true" outlineLevel="0" collapsed="false">
      <c r="A360" s="16" t="s">
        <v>25</v>
      </c>
      <c r="B360" s="17" t="n">
        <v>46327</v>
      </c>
      <c r="C360" s="16" t="n">
        <v>2026</v>
      </c>
      <c r="D360" s="16" t="n">
        <v>11</v>
      </c>
      <c r="E360" s="16" t="n">
        <v>30</v>
      </c>
      <c r="F360" s="18" t="n">
        <f aca="false">Assumptions_2026!$G$26*U360</f>
        <v>7.30314921289453</v>
      </c>
      <c r="G360" s="19" t="n">
        <f aca="false">Assumptions_2026!$G$27*V360</f>
        <v>0.756640003519397</v>
      </c>
      <c r="H360" s="20" t="n">
        <f aca="false">Annual_Data!$E$26+(Assumptions_2026!$G$28-Annual_Data!$E$26)*D360/12</f>
        <v>57.120909315691</v>
      </c>
      <c r="I360" s="21" t="n">
        <f aca="false">Assumptions_2026!$G$29*Y360</f>
        <v>5272.75968808027</v>
      </c>
      <c r="J360" s="21" t="n">
        <f aca="false">Assumptions_2026!$G$30*W360</f>
        <v>28446.6601569546</v>
      </c>
      <c r="K360" s="21" t="n">
        <f aca="false">Assumptions_2026!$G$31*X360</f>
        <v>31472.9554652015</v>
      </c>
      <c r="L360" s="20" t="n">
        <f aca="false">K360*0.0036</f>
        <v>113.302639674725</v>
      </c>
      <c r="M360" s="22" t="n">
        <f aca="false">K360/(I360*E360/1000)</f>
        <v>198.96573664799</v>
      </c>
      <c r="N360" s="18" t="n">
        <f aca="false">LN(F360)</f>
        <v>1.98830565415519</v>
      </c>
      <c r="O360" s="18" t="n">
        <f aca="false">LN(G360)</f>
        <v>-0.278867695435223</v>
      </c>
      <c r="P360" s="18" t="n">
        <f aca="false">LN(I360)</f>
        <v>8.57030916445065</v>
      </c>
      <c r="Q360" s="18" t="n">
        <f aca="false">LN(J360)</f>
        <v>10.2557860392347</v>
      </c>
      <c r="R360" s="18" t="n">
        <f aca="false">LN(M360)</f>
        <v>5.29313263225193</v>
      </c>
      <c r="S360" s="16" t="n">
        <v>1</v>
      </c>
      <c r="T360" s="16" t="s">
        <v>48</v>
      </c>
      <c r="U360" s="23" t="n">
        <v>0.082892178982</v>
      </c>
      <c r="V360" s="23" t="n">
        <v>0.078951552049</v>
      </c>
      <c r="W360" s="23" t="n">
        <v>0.084432251394</v>
      </c>
      <c r="X360" s="23" t="n">
        <v>0.082338458085</v>
      </c>
      <c r="Y360" s="23" t="n">
        <v>1.047551427655</v>
      </c>
    </row>
    <row r="361" customFormat="false" ht="15" hidden="false" customHeight="true" outlineLevel="0" collapsed="false">
      <c r="A361" s="16" t="s">
        <v>25</v>
      </c>
      <c r="B361" s="17" t="n">
        <v>46357</v>
      </c>
      <c r="C361" s="16" t="n">
        <v>2026</v>
      </c>
      <c r="D361" s="16" t="n">
        <v>12</v>
      </c>
      <c r="E361" s="16" t="n">
        <v>31</v>
      </c>
      <c r="F361" s="18" t="n">
        <f aca="false">Assumptions_2026!$G$26*U361</f>
        <v>7.81130943019715</v>
      </c>
      <c r="G361" s="19" t="n">
        <f aca="false">Assumptions_2026!$G$27*V361</f>
        <v>0.892485640833971</v>
      </c>
      <c r="H361" s="20" t="n">
        <f aca="false">Annual_Data!$E$26+(Assumptions_2026!$G$28-Annual_Data!$E$26)*D361/12</f>
        <v>57.0409919807538</v>
      </c>
      <c r="I361" s="21" t="n">
        <f aca="false">Assumptions_2026!$G$29*Y361</f>
        <v>5319.80544980766</v>
      </c>
      <c r="J361" s="21" t="n">
        <f aca="false">Assumptions_2026!$G$30*W361</f>
        <v>29785.1712067892</v>
      </c>
      <c r="K361" s="21" t="n">
        <f aca="false">Assumptions_2026!$G$31*X361</f>
        <v>33292.7121986342</v>
      </c>
      <c r="L361" s="20" t="n">
        <f aca="false">K361*0.0036</f>
        <v>119.853763915083</v>
      </c>
      <c r="M361" s="22" t="n">
        <f aca="false">K361/(I361*E361/1000)</f>
        <v>201.879273246597</v>
      </c>
      <c r="N361" s="18" t="n">
        <f aca="false">LN(F361)</f>
        <v>2.05557261051477</v>
      </c>
      <c r="O361" s="18" t="n">
        <f aca="false">LN(G361)</f>
        <v>-0.1137448541592</v>
      </c>
      <c r="P361" s="18" t="n">
        <f aca="false">LN(I361)</f>
        <v>8.57919201208198</v>
      </c>
      <c r="Q361" s="18" t="n">
        <f aca="false">LN(J361)</f>
        <v>10.3017659381339</v>
      </c>
      <c r="R361" s="18" t="n">
        <f aca="false">LN(M361)</f>
        <v>5.30766986153789</v>
      </c>
      <c r="S361" s="16" t="n">
        <v>1</v>
      </c>
      <c r="T361" s="16" t="s">
        <v>48</v>
      </c>
      <c r="U361" s="23" t="n">
        <v>0.088659897326</v>
      </c>
      <c r="V361" s="23" t="n">
        <v>0.093126356256</v>
      </c>
      <c r="W361" s="23" t="n">
        <v>0.088405072837</v>
      </c>
      <c r="X361" s="23" t="n">
        <v>0.087099242743</v>
      </c>
      <c r="Y361" s="23" t="n">
        <v>1.05689811853</v>
      </c>
    </row>
  </sheetData>
  <autoFilter ref="A1:T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70"/>
  </cols>
  <sheetData>
    <row r="1" customFormat="false" ht="45" hidden="false" customHeight="true" outlineLevel="0" collapsed="false">
      <c r="A1" s="2" t="s">
        <v>0</v>
      </c>
      <c r="B1" s="2" t="s">
        <v>28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customFormat="false" ht="15" hidden="false" customHeight="true" outlineLevel="0" collapsed="false">
      <c r="A2" s="3" t="s">
        <v>13</v>
      </c>
      <c r="B2" s="3" t="s">
        <v>2</v>
      </c>
      <c r="C2" s="24" t="n">
        <f aca="false">Annual_Data!C2</f>
        <v>33.2</v>
      </c>
      <c r="D2" s="24" t="n">
        <f aca="false">Annual_Data!C6</f>
        <v>33.7</v>
      </c>
      <c r="E2" s="25" t="n">
        <f aca="false">(D2/C2)^(1/4)-1</f>
        <v>0.00374398161347722</v>
      </c>
      <c r="F2" s="26" t="n">
        <f aca="false">E2</f>
        <v>0.00374398161347722</v>
      </c>
      <c r="G2" s="27" t="n">
        <f aca="false">D2*(1+F2)</f>
        <v>33.8261721803742</v>
      </c>
      <c r="H2" s="3" t="s">
        <v>55</v>
      </c>
    </row>
    <row r="3" customFormat="false" ht="15" hidden="false" customHeight="true" outlineLevel="0" collapsed="false">
      <c r="A3" s="3" t="s">
        <v>13</v>
      </c>
      <c r="B3" s="3" t="s">
        <v>3</v>
      </c>
      <c r="C3" s="24" t="n">
        <f aca="false">Annual_Data!D2</f>
        <v>2.4</v>
      </c>
      <c r="D3" s="24" t="n">
        <f aca="false">Annual_Data!D6</f>
        <v>0.7</v>
      </c>
      <c r="E3" s="25" t="n">
        <f aca="false">(D3/C3)^(1/4)-1</f>
        <v>-0.265111079912534</v>
      </c>
      <c r="F3" s="26" t="n">
        <f aca="false">E3</f>
        <v>-0.265111079912534</v>
      </c>
      <c r="G3" s="27" t="n">
        <f aca="false">D3*(1+F3)</f>
        <v>0.514422244061226</v>
      </c>
      <c r="H3" s="3" t="s">
        <v>55</v>
      </c>
    </row>
    <row r="4" customFormat="false" ht="15" hidden="false" customHeight="true" outlineLevel="0" collapsed="false">
      <c r="A4" s="3" t="s">
        <v>13</v>
      </c>
      <c r="B4" s="3" t="s">
        <v>4</v>
      </c>
      <c r="C4" s="24" t="n">
        <f aca="false">Annual_Data!E2</f>
        <v>67</v>
      </c>
      <c r="D4" s="24" t="n">
        <f aca="false">Annual_Data!E6</f>
        <v>93.7</v>
      </c>
      <c r="E4" s="25" t="n">
        <f aca="false">(D4/C4)^(1/4)-1</f>
        <v>0.0874672759672428</v>
      </c>
      <c r="F4" s="26" t="n">
        <f aca="false">E4</f>
        <v>0.0874672759672428</v>
      </c>
      <c r="G4" s="27" t="n">
        <f aca="false">D4*(1+F4)</f>
        <v>101.895683758131</v>
      </c>
      <c r="H4" s="3" t="s">
        <v>55</v>
      </c>
    </row>
    <row r="5" customFormat="false" ht="15" hidden="false" customHeight="true" outlineLevel="0" collapsed="false">
      <c r="A5" s="3" t="s">
        <v>13</v>
      </c>
      <c r="B5" s="3" t="s">
        <v>5</v>
      </c>
      <c r="C5" s="24" t="n">
        <f aca="false">Annual_Data!F2</f>
        <v>2218</v>
      </c>
      <c r="D5" s="24" t="n">
        <f aca="false">Annual_Data!F6</f>
        <v>2312</v>
      </c>
      <c r="E5" s="25" t="n">
        <f aca="false">(D5/C5)^(1/4)-1</f>
        <v>0.0104307908090229</v>
      </c>
      <c r="F5" s="26" t="n">
        <f aca="false">E5</f>
        <v>0.0104307908090229</v>
      </c>
      <c r="G5" s="27" t="n">
        <f aca="false">D5*(1+F5)</f>
        <v>2336.11598835046</v>
      </c>
      <c r="H5" s="3" t="s">
        <v>55</v>
      </c>
    </row>
    <row r="6" customFormat="false" ht="15" hidden="false" customHeight="true" outlineLevel="0" collapsed="false">
      <c r="A6" s="3" t="s">
        <v>13</v>
      </c>
      <c r="B6" s="3" t="s">
        <v>7</v>
      </c>
      <c r="C6" s="24" t="n">
        <f aca="false">Annual_Data!H2</f>
        <v>157739</v>
      </c>
      <c r="D6" s="24" t="n">
        <f aca="false">Annual_Data!H6</f>
        <v>189335</v>
      </c>
      <c r="E6" s="25" t="n">
        <f aca="false">(D6/C6)^(1/4)-1</f>
        <v>0.0467017618364223</v>
      </c>
      <c r="F6" s="26" t="n">
        <f aca="false">E6</f>
        <v>0.0467017618364223</v>
      </c>
      <c r="G6" s="27" t="n">
        <f aca="false">D6*(1+F6)</f>
        <v>198177.278077299</v>
      </c>
      <c r="H6" s="3" t="s">
        <v>55</v>
      </c>
    </row>
    <row r="7" customFormat="false" ht="15" hidden="false" customHeight="true" outlineLevel="0" collapsed="false">
      <c r="A7" s="3" t="s">
        <v>13</v>
      </c>
      <c r="B7" s="3" t="s">
        <v>8</v>
      </c>
      <c r="C7" s="24" t="n">
        <f aca="false">Annual_Data!I2</f>
        <v>128805</v>
      </c>
      <c r="D7" s="24" t="n">
        <f aca="false">Annual_Data!I6</f>
        <v>134448</v>
      </c>
      <c r="E7" s="25" t="n">
        <f aca="false">(D7/C7)^(1/4)-1</f>
        <v>0.010777127943516</v>
      </c>
      <c r="F7" s="26" t="n">
        <f aca="false">E7</f>
        <v>0.010777127943516</v>
      </c>
      <c r="G7" s="27" t="n">
        <f aca="false">D7*(1+F7)</f>
        <v>135896.96329775</v>
      </c>
      <c r="H7" s="3" t="s">
        <v>55</v>
      </c>
    </row>
    <row r="8" customFormat="false" ht="15" hidden="false" customHeight="true" outlineLevel="0" collapsed="false">
      <c r="A8" s="3" t="s">
        <v>16</v>
      </c>
      <c r="B8" s="3" t="s">
        <v>2</v>
      </c>
      <c r="C8" s="24" t="n">
        <f aca="false">Annual_Data!C7</f>
        <v>57</v>
      </c>
      <c r="D8" s="24" t="n">
        <f aca="false">Annual_Data!C11</f>
        <v>55</v>
      </c>
      <c r="E8" s="25" t="n">
        <f aca="false">(D8/C8)^(1/4)-1</f>
        <v>-0.00888977088443743</v>
      </c>
      <c r="F8" s="26" t="n">
        <f aca="false">E8</f>
        <v>-0.00888977088443743</v>
      </c>
      <c r="G8" s="27" t="n">
        <f aca="false">D8*(1+F8)</f>
        <v>54.5110626013559</v>
      </c>
      <c r="H8" s="3" t="s">
        <v>55</v>
      </c>
    </row>
    <row r="9" customFormat="false" ht="15" hidden="false" customHeight="true" outlineLevel="0" collapsed="false">
      <c r="A9" s="3" t="s">
        <v>16</v>
      </c>
      <c r="B9" s="3" t="s">
        <v>3</v>
      </c>
      <c r="C9" s="24" t="n">
        <f aca="false">Annual_Data!D7</f>
        <v>2</v>
      </c>
      <c r="D9" s="24" t="n">
        <f aca="false">Annual_Data!D11</f>
        <v>2</v>
      </c>
      <c r="E9" s="25" t="n">
        <f aca="false">(D9/C9)^(1/4)-1</f>
        <v>0</v>
      </c>
      <c r="F9" s="26" t="n">
        <f aca="false">E9</f>
        <v>0</v>
      </c>
      <c r="G9" s="27" t="n">
        <f aca="false">D9*(1+F9)</f>
        <v>2</v>
      </c>
      <c r="H9" s="3" t="s">
        <v>55</v>
      </c>
    </row>
    <row r="10" customFormat="false" ht="15" hidden="false" customHeight="true" outlineLevel="0" collapsed="false">
      <c r="A10" s="3" t="s">
        <v>16</v>
      </c>
      <c r="B10" s="3" t="s">
        <v>4</v>
      </c>
      <c r="C10" s="24" t="n">
        <f aca="false">Annual_Data!E7</f>
        <v>37.5</v>
      </c>
      <c r="D10" s="24" t="n">
        <f aca="false">Annual_Data!E11</f>
        <v>43</v>
      </c>
      <c r="E10" s="25" t="n">
        <f aca="false">(D10/C10)^(1/4)-1</f>
        <v>0.0348068548996316</v>
      </c>
      <c r="F10" s="26" t="n">
        <f aca="false">E10</f>
        <v>0.0348068548996316</v>
      </c>
      <c r="G10" s="27" t="n">
        <f aca="false">D10*(1+F10)</f>
        <v>44.4966947606842</v>
      </c>
      <c r="H10" s="3" t="s">
        <v>55</v>
      </c>
    </row>
    <row r="11" customFormat="false" ht="15" hidden="false" customHeight="true" outlineLevel="0" collapsed="false">
      <c r="A11" s="3" t="s">
        <v>16</v>
      </c>
      <c r="B11" s="3" t="s">
        <v>5</v>
      </c>
      <c r="C11" s="24" t="n">
        <f aca="false">Annual_Data!F7</f>
        <v>3099</v>
      </c>
      <c r="D11" s="24" t="n">
        <f aca="false">Annual_Data!F11</f>
        <v>3723</v>
      </c>
      <c r="E11" s="25" t="n">
        <f aca="false">(D11/C11)^(1/4)-1</f>
        <v>0.04693053085285</v>
      </c>
      <c r="F11" s="28" t="n">
        <v>0.085146</v>
      </c>
      <c r="G11" s="27" t="n">
        <f aca="false">D11*(1+F11)</f>
        <v>4039.998558</v>
      </c>
      <c r="H11" s="3" t="s">
        <v>56</v>
      </c>
    </row>
    <row r="12" customFormat="false" ht="15" hidden="false" customHeight="true" outlineLevel="0" collapsed="false">
      <c r="A12" s="3" t="s">
        <v>16</v>
      </c>
      <c r="B12" s="3" t="s">
        <v>7</v>
      </c>
      <c r="C12" s="24" t="n">
        <f aca="false">Annual_Data!H7</f>
        <v>155606</v>
      </c>
      <c r="D12" s="24" t="n">
        <f aca="false">Annual_Data!H11</f>
        <v>184432</v>
      </c>
      <c r="E12" s="25" t="n">
        <f aca="false">(D12/C12)^(1/4)-1</f>
        <v>0.0434039685851513</v>
      </c>
      <c r="F12" s="26" t="n">
        <f aca="false">E12</f>
        <v>0.0434039685851513</v>
      </c>
      <c r="G12" s="27" t="n">
        <f aca="false">D12*(1+F12)</f>
        <v>192437.080734097</v>
      </c>
      <c r="H12" s="3" t="s">
        <v>55</v>
      </c>
    </row>
    <row r="13" customFormat="false" ht="15" hidden="false" customHeight="true" outlineLevel="0" collapsed="false">
      <c r="A13" s="3" t="s">
        <v>16</v>
      </c>
      <c r="B13" s="3" t="s">
        <v>8</v>
      </c>
      <c r="C13" s="24" t="n">
        <f aca="false">Annual_Data!I7</f>
        <v>205833</v>
      </c>
      <c r="D13" s="24" t="n">
        <f aca="false">Annual_Data!I11</f>
        <v>197778</v>
      </c>
      <c r="E13" s="25" t="n">
        <f aca="false">(D13/C13)^(1/4)-1</f>
        <v>-0.00993035784218321</v>
      </c>
      <c r="F13" s="26" t="n">
        <f aca="false">E13</f>
        <v>-0.00993035784218321</v>
      </c>
      <c r="G13" s="27" t="n">
        <f aca="false">D13*(1+F13)</f>
        <v>195813.993686689</v>
      </c>
      <c r="H13" s="3" t="s">
        <v>55</v>
      </c>
    </row>
    <row r="14" customFormat="false" ht="15" hidden="false" customHeight="true" outlineLevel="0" collapsed="false">
      <c r="A14" s="3" t="s">
        <v>19</v>
      </c>
      <c r="B14" s="3" t="s">
        <v>2</v>
      </c>
      <c r="C14" s="24" t="n">
        <f aca="false">Annual_Data!C12</f>
        <v>17.7</v>
      </c>
      <c r="D14" s="24" t="n">
        <f aca="false">Annual_Data!C16</f>
        <v>18.4</v>
      </c>
      <c r="E14" s="25" t="n">
        <f aca="false">(D14/C14)^(1/4)-1</f>
        <v>0.00974366969252172</v>
      </c>
      <c r="F14" s="26" t="n">
        <f aca="false">E14</f>
        <v>0.00974366969252172</v>
      </c>
      <c r="G14" s="27" t="n">
        <f aca="false">D14*(1+F14)</f>
        <v>18.5792835223424</v>
      </c>
      <c r="H14" s="3" t="s">
        <v>55</v>
      </c>
    </row>
    <row r="15" customFormat="false" ht="15" hidden="false" customHeight="true" outlineLevel="0" collapsed="false">
      <c r="A15" s="3" t="s">
        <v>19</v>
      </c>
      <c r="B15" s="3" t="s">
        <v>3</v>
      </c>
      <c r="C15" s="24" t="n">
        <f aca="false">Annual_Data!D12</f>
        <v>1.03</v>
      </c>
      <c r="D15" s="24" t="n">
        <f aca="false">Annual_Data!D16</f>
        <v>1.18</v>
      </c>
      <c r="E15" s="25" t="n">
        <f aca="false">(D15/C15)^(1/4)-1</f>
        <v>0.0345731322749241</v>
      </c>
      <c r="F15" s="26" t="n">
        <f aca="false">E15</f>
        <v>0.0345731322749241</v>
      </c>
      <c r="G15" s="27" t="n">
        <f aca="false">D15*(1+F15)</f>
        <v>1.22079629608441</v>
      </c>
      <c r="H15" s="3" t="s">
        <v>55</v>
      </c>
    </row>
    <row r="16" customFormat="false" ht="15" hidden="false" customHeight="true" outlineLevel="0" collapsed="false">
      <c r="A16" s="3" t="s">
        <v>19</v>
      </c>
      <c r="B16" s="3" t="s">
        <v>4</v>
      </c>
      <c r="C16" s="24" t="n">
        <f aca="false">Annual_Data!E12</f>
        <v>10.4</v>
      </c>
      <c r="D16" s="24" t="n">
        <f aca="false">Annual_Data!E16</f>
        <v>12</v>
      </c>
      <c r="E16" s="25" t="n">
        <f aca="false">(D16/C16)^(1/4)-1</f>
        <v>0.0364228437559397</v>
      </c>
      <c r="F16" s="26" t="n">
        <f aca="false">E16</f>
        <v>0.0364228437559397</v>
      </c>
      <c r="G16" s="27" t="n">
        <f aca="false">D16*(1+F16)</f>
        <v>12.4370741250713</v>
      </c>
      <c r="H16" s="3" t="s">
        <v>55</v>
      </c>
    </row>
    <row r="17" customFormat="false" ht="15" hidden="false" customHeight="true" outlineLevel="0" collapsed="false">
      <c r="A17" s="3" t="s">
        <v>19</v>
      </c>
      <c r="B17" s="3" t="s">
        <v>5</v>
      </c>
      <c r="C17" s="24" t="n">
        <f aca="false">Annual_Data!F12</f>
        <v>1901</v>
      </c>
      <c r="D17" s="24" t="n">
        <f aca="false">Annual_Data!F16</f>
        <v>2742</v>
      </c>
      <c r="E17" s="25" t="n">
        <f aca="false">(D17/C17)^(1/4)-1</f>
        <v>0.0959010256765758</v>
      </c>
      <c r="F17" s="26" t="n">
        <f aca="false">E17</f>
        <v>0.0959010256765758</v>
      </c>
      <c r="G17" s="27" t="n">
        <f aca="false">D17*(1+F17)</f>
        <v>3004.96061240517</v>
      </c>
      <c r="H17" s="3" t="s">
        <v>55</v>
      </c>
    </row>
    <row r="18" customFormat="false" ht="15" hidden="false" customHeight="true" outlineLevel="0" collapsed="false">
      <c r="A18" s="3" t="s">
        <v>19</v>
      </c>
      <c r="B18" s="3" t="s">
        <v>7</v>
      </c>
      <c r="C18" s="24" t="n">
        <f aca="false">Annual_Data!H12</f>
        <v>45828</v>
      </c>
      <c r="D18" s="24" t="n">
        <f aca="false">Annual_Data!H16</f>
        <v>58944</v>
      </c>
      <c r="E18" s="25" t="n">
        <f aca="false">(D18/C18)^(1/4)-1</f>
        <v>0.0649449904314916</v>
      </c>
      <c r="F18" s="26" t="n">
        <f aca="false">E18</f>
        <v>0.0649449904314916</v>
      </c>
      <c r="G18" s="27" t="n">
        <f aca="false">D18*(1+F18)</f>
        <v>62772.1175159938</v>
      </c>
      <c r="H18" s="3" t="s">
        <v>55</v>
      </c>
    </row>
    <row r="19" customFormat="false" ht="15" hidden="false" customHeight="true" outlineLevel="0" collapsed="false">
      <c r="A19" s="3" t="s">
        <v>19</v>
      </c>
      <c r="B19" s="3" t="s">
        <v>8</v>
      </c>
      <c r="C19" s="24" t="n">
        <f aca="false">Annual_Data!I12</f>
        <v>63596</v>
      </c>
      <c r="D19" s="24" t="n">
        <f aca="false">Annual_Data!I16</f>
        <v>72682</v>
      </c>
      <c r="E19" s="25" t="n">
        <f aca="false">(D19/C19)^(1/4)-1</f>
        <v>0.0339493562833484</v>
      </c>
      <c r="F19" s="26" t="n">
        <f aca="false">E19</f>
        <v>0.0339493562833484</v>
      </c>
      <c r="G19" s="27" t="n">
        <f aca="false">D19*(1+F19)</f>
        <v>75149.5071133863</v>
      </c>
      <c r="H19" s="3" t="s">
        <v>55</v>
      </c>
    </row>
    <row r="20" customFormat="false" ht="15" hidden="false" customHeight="true" outlineLevel="0" collapsed="false">
      <c r="A20" s="3" t="s">
        <v>22</v>
      </c>
      <c r="B20" s="3" t="s">
        <v>2</v>
      </c>
      <c r="C20" s="24" t="n">
        <f aca="false">Annual_Data!C17</f>
        <v>12.01</v>
      </c>
      <c r="D20" s="24" t="n">
        <f aca="false">Annual_Data!C21</f>
        <v>10.04</v>
      </c>
      <c r="E20" s="25" t="n">
        <f aca="false">(D20/C20)^(1/4)-1</f>
        <v>-0.0438023404562667</v>
      </c>
      <c r="F20" s="26" t="n">
        <f aca="false">E20</f>
        <v>-0.0438023404562667</v>
      </c>
      <c r="G20" s="27" t="n">
        <f aca="false">D20*(1+F20)</f>
        <v>9.60022450181908</v>
      </c>
      <c r="H20" s="3" t="s">
        <v>55</v>
      </c>
    </row>
    <row r="21" customFormat="false" ht="15" hidden="false" customHeight="true" outlineLevel="0" collapsed="false">
      <c r="A21" s="3" t="s">
        <v>22</v>
      </c>
      <c r="B21" s="3" t="s">
        <v>3</v>
      </c>
      <c r="C21" s="24" t="n">
        <f aca="false">Annual_Data!D17</f>
        <v>0.1</v>
      </c>
      <c r="D21" s="24" t="n">
        <f aca="false">Annual_Data!D21</f>
        <v>0.05</v>
      </c>
      <c r="E21" s="25" t="n">
        <f aca="false">(D21/C21)^(1/4)-1</f>
        <v>-0.159103584746286</v>
      </c>
      <c r="F21" s="26" t="n">
        <f aca="false">E21</f>
        <v>-0.159103584746286</v>
      </c>
      <c r="G21" s="27" t="n">
        <f aca="false">D21*(1+F21)</f>
        <v>0.0420448207626857</v>
      </c>
      <c r="H21" s="3" t="s">
        <v>55</v>
      </c>
    </row>
    <row r="22" customFormat="false" ht="15" hidden="false" customHeight="true" outlineLevel="0" collapsed="false">
      <c r="A22" s="3" t="s">
        <v>22</v>
      </c>
      <c r="B22" s="3" t="s">
        <v>4</v>
      </c>
      <c r="C22" s="24" t="n">
        <f aca="false">Annual_Data!E17</f>
        <v>21.126</v>
      </c>
      <c r="D22" s="24" t="n">
        <f aca="false">Annual_Data!E21</f>
        <v>24.6</v>
      </c>
      <c r="E22" s="25" t="n">
        <f aca="false">(D22/C22)^(1/4)-1</f>
        <v>0.0387940607588806</v>
      </c>
      <c r="F22" s="26" t="n">
        <f aca="false">E22</f>
        <v>0.0387940607588806</v>
      </c>
      <c r="G22" s="27" t="n">
        <f aca="false">D22*(1+F22)</f>
        <v>25.5543338946685</v>
      </c>
      <c r="H22" s="3" t="s">
        <v>55</v>
      </c>
    </row>
    <row r="23" customFormat="false" ht="15" hidden="false" customHeight="true" outlineLevel="0" collapsed="false">
      <c r="A23" s="3" t="s">
        <v>22</v>
      </c>
      <c r="B23" s="3" t="s">
        <v>5</v>
      </c>
      <c r="C23" s="24" t="n">
        <f aca="false">Annual_Data!F17</f>
        <v>2079</v>
      </c>
      <c r="D23" s="24" t="n">
        <f aca="false">Annual_Data!F21</f>
        <v>2137</v>
      </c>
      <c r="E23" s="25" t="n">
        <f aca="false">(D23/C23)^(1/4)-1</f>
        <v>0.0069027064761773</v>
      </c>
      <c r="F23" s="28" t="n">
        <v>0.03</v>
      </c>
      <c r="G23" s="27" t="n">
        <f aca="false">D23*(1+F23)</f>
        <v>2201.11</v>
      </c>
      <c r="H23" s="3" t="s">
        <v>57</v>
      </c>
    </row>
    <row r="24" customFormat="false" ht="15" hidden="false" customHeight="true" outlineLevel="0" collapsed="false">
      <c r="A24" s="3" t="s">
        <v>22</v>
      </c>
      <c r="B24" s="3" t="s">
        <v>7</v>
      </c>
      <c r="C24" s="24" t="n">
        <f aca="false">Annual_Data!H17</f>
        <v>88744</v>
      </c>
      <c r="D24" s="24" t="n">
        <f aca="false">Annual_Data!H21</f>
        <v>105828</v>
      </c>
      <c r="E24" s="25" t="n">
        <f aca="false">(D24/C24)^(1/4)-1</f>
        <v>0.0449978505915016</v>
      </c>
      <c r="F24" s="26" t="n">
        <f aca="false">E24</f>
        <v>0.0449978505915016</v>
      </c>
      <c r="G24" s="27" t="n">
        <f aca="false">D24*(1+F24)</f>
        <v>110590.032532397</v>
      </c>
      <c r="H24" s="3" t="s">
        <v>55</v>
      </c>
    </row>
    <row r="25" customFormat="false" ht="15" hidden="false" customHeight="true" outlineLevel="0" collapsed="false">
      <c r="A25" s="3" t="s">
        <v>22</v>
      </c>
      <c r="B25" s="3" t="s">
        <v>8</v>
      </c>
      <c r="C25" s="24" t="n">
        <f aca="false">Annual_Data!I17</f>
        <v>59000</v>
      </c>
      <c r="D25" s="24" t="n">
        <f aca="false">Annual_Data!I21</f>
        <v>49000</v>
      </c>
      <c r="E25" s="25" t="n">
        <f aca="false">(D25/C25)^(1/4)-1</f>
        <v>-0.045367936393415</v>
      </c>
      <c r="F25" s="26" t="n">
        <f aca="false">E25</f>
        <v>-0.045367936393415</v>
      </c>
      <c r="G25" s="27" t="n">
        <f aca="false">D25*(1+F25)</f>
        <v>46776.9711167227</v>
      </c>
      <c r="H25" s="3" t="s">
        <v>55</v>
      </c>
    </row>
    <row r="26" customFormat="false" ht="15" hidden="false" customHeight="true" outlineLevel="0" collapsed="false">
      <c r="A26" s="3" t="s">
        <v>25</v>
      </c>
      <c r="B26" s="3" t="s">
        <v>2</v>
      </c>
      <c r="C26" s="24" t="n">
        <f aca="false">Annual_Data!C22</f>
        <v>98</v>
      </c>
      <c r="D26" s="24" t="n">
        <f aca="false">Annual_Data!C26</f>
        <v>90</v>
      </c>
      <c r="E26" s="25" t="n">
        <f aca="false">(D26/C26)^(1/4)-1</f>
        <v>-0.0210644313848282</v>
      </c>
      <c r="F26" s="26" t="n">
        <f aca="false">E26</f>
        <v>-0.0210644313848282</v>
      </c>
      <c r="G26" s="27" t="n">
        <f aca="false">D26*(1+F26)</f>
        <v>88.1042011753655</v>
      </c>
      <c r="H26" s="3" t="s">
        <v>55</v>
      </c>
    </row>
    <row r="27" customFormat="false" ht="15" hidden="false" customHeight="true" outlineLevel="0" collapsed="false">
      <c r="A27" s="3" t="s">
        <v>25</v>
      </c>
      <c r="B27" s="3" t="s">
        <v>3</v>
      </c>
      <c r="C27" s="24" t="n">
        <f aca="false">Annual_Data!D22</f>
        <v>7</v>
      </c>
      <c r="D27" s="24" t="n">
        <f aca="false">Annual_Data!D26</f>
        <v>9</v>
      </c>
      <c r="E27" s="25" t="n">
        <f aca="false">(D27/C27)^(1/4)-1</f>
        <v>0.0648443168030159</v>
      </c>
      <c r="F27" s="26" t="n">
        <f aca="false">E27</f>
        <v>0.0648443168030159</v>
      </c>
      <c r="G27" s="27" t="n">
        <f aca="false">D27*(1+F27)</f>
        <v>9.58359885122714</v>
      </c>
      <c r="H27" s="3" t="s">
        <v>55</v>
      </c>
    </row>
    <row r="28" customFormat="false" ht="15" hidden="false" customHeight="true" outlineLevel="0" collapsed="false">
      <c r="A28" s="3" t="s">
        <v>25</v>
      </c>
      <c r="B28" s="3" t="s">
        <v>4</v>
      </c>
      <c r="C28" s="24" t="n">
        <f aca="false">Annual_Data!E22</f>
        <v>62</v>
      </c>
      <c r="D28" s="24" t="n">
        <f aca="false">Annual_Data!E26</f>
        <v>58</v>
      </c>
      <c r="E28" s="25" t="n">
        <f aca="false">(D28/C28)^(1/4)-1</f>
        <v>-0.0165346210214863</v>
      </c>
      <c r="F28" s="26" t="n">
        <f aca="false">E28</f>
        <v>-0.0165346210214863</v>
      </c>
      <c r="G28" s="27" t="n">
        <f aca="false">D28*(1+F28)</f>
        <v>57.0409919807538</v>
      </c>
      <c r="H28" s="3" t="s">
        <v>55</v>
      </c>
    </row>
    <row r="29" customFormat="false" ht="15" hidden="false" customHeight="true" outlineLevel="0" collapsed="false">
      <c r="A29" s="3" t="s">
        <v>25</v>
      </c>
      <c r="B29" s="3" t="s">
        <v>5</v>
      </c>
      <c r="C29" s="24" t="n">
        <f aca="false">Annual_Data!F22</f>
        <v>3712</v>
      </c>
      <c r="D29" s="24" t="n">
        <f aca="false">Annual_Data!F26</f>
        <v>4736</v>
      </c>
      <c r="E29" s="25" t="n">
        <f aca="false">(D29/C29)^(1/4)-1</f>
        <v>0.0627984969477646</v>
      </c>
      <c r="F29" s="26" t="n">
        <f aca="false">E29</f>
        <v>0.0627984969477646</v>
      </c>
      <c r="G29" s="27" t="n">
        <f aca="false">D29*(1+F29)</f>
        <v>5033.41368154461</v>
      </c>
      <c r="H29" s="3" t="s">
        <v>55</v>
      </c>
    </row>
    <row r="30" customFormat="false" ht="15" hidden="false" customHeight="true" outlineLevel="0" collapsed="false">
      <c r="A30" s="3" t="s">
        <v>25</v>
      </c>
      <c r="B30" s="3" t="s">
        <v>7</v>
      </c>
      <c r="C30" s="24" t="n">
        <f aca="false">Annual_Data!H22</f>
        <v>276692</v>
      </c>
      <c r="D30" s="24" t="n">
        <f aca="false">Annual_Data!H26</f>
        <v>323905</v>
      </c>
      <c r="E30" s="25" t="n">
        <f aca="false">(D30/C30)^(1/4)-1</f>
        <v>0.0401722476517605</v>
      </c>
      <c r="F30" s="26" t="n">
        <f aca="false">E30</f>
        <v>0.0401722476517605</v>
      </c>
      <c r="G30" s="27" t="n">
        <f aca="false">D30*(1+F30)</f>
        <v>336916.991875644</v>
      </c>
      <c r="H30" s="3" t="s">
        <v>55</v>
      </c>
    </row>
    <row r="31" customFormat="false" ht="15" hidden="false" customHeight="true" outlineLevel="0" collapsed="false">
      <c r="A31" s="3" t="s">
        <v>25</v>
      </c>
      <c r="B31" s="3" t="s">
        <v>8</v>
      </c>
      <c r="C31" s="24" t="n">
        <f aca="false">Annual_Data!I22</f>
        <v>416667</v>
      </c>
      <c r="D31" s="24" t="n">
        <f aca="false">Annual_Data!I26</f>
        <v>388889</v>
      </c>
      <c r="E31" s="25" t="n">
        <f aca="false">(D31/C31)^(1/4)-1</f>
        <v>-0.0171004452865688</v>
      </c>
      <c r="F31" s="26" t="n">
        <f aca="false">E31</f>
        <v>-0.0171004452865688</v>
      </c>
      <c r="G31" s="27" t="n">
        <f aca="false">D31*(1+F31)</f>
        <v>382238.824932952</v>
      </c>
      <c r="H31" s="3" t="s">
        <v>55</v>
      </c>
    </row>
    <row r="33" customFormat="false" ht="15" hidden="false" customHeight="true" outlineLevel="0" collapsed="false">
      <c r="A33" s="29" t="s">
        <v>58</v>
      </c>
    </row>
    <row r="34" customFormat="false" ht="15" hidden="false" customHeight="true" outlineLevel="0" collapsed="false">
      <c r="A34" s="29" t="s">
        <v>59</v>
      </c>
    </row>
    <row r="35" customFormat="false" ht="15" hidden="false" customHeight="true" outlineLevel="0" collapsed="false">
      <c r="A35" s="29" t="s">
        <v>60</v>
      </c>
    </row>
    <row r="36" customFormat="false" ht="15" hidden="false" customHeight="true" outlineLevel="0" collapsed="false">
      <c r="A36" s="2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"/>
    <col collapsed="false" customWidth="true" hidden="false" outlineLevel="0" max="12" min="3" style="1" width="13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customFormat="false" ht="15" hidden="false" customHeight="true" outlineLevel="0" collapsed="false">
      <c r="A2" s="3" t="s">
        <v>13</v>
      </c>
      <c r="B2" s="3" t="n">
        <v>2021</v>
      </c>
      <c r="C2" s="30" t="n">
        <f aca="false">Annual_Data!C2</f>
        <v>33.2</v>
      </c>
      <c r="D2" s="14" t="n">
        <f aca="false">SUMIFS(Monthly_Data!$F$2:$F$361,Monthly_Data!$A$2:$A$361,A2,Monthly_Data!$C$2:$C$361,B2)</f>
        <v>33.1999999999668</v>
      </c>
      <c r="E2" s="30" t="n">
        <f aca="false">Annual_Data!D2</f>
        <v>2.4</v>
      </c>
      <c r="F2" s="14" t="n">
        <f aca="false">SUMIFS(Monthly_Data!$G$2:$G$361,Monthly_Data!$A$2:$A$361,A2,Monthly_Data!$C$2:$C$361,B2)</f>
        <v>2.4000000000024</v>
      </c>
      <c r="G2" s="30" t="n">
        <f aca="false">Annual_Data!H2</f>
        <v>157739</v>
      </c>
      <c r="H2" s="14" t="n">
        <f aca="false">SUMIFS(Monthly_Data!$J$2:$J$361,Monthly_Data!$A$2:$A$361,A2,Monthly_Data!$C$2:$C$361,B2)</f>
        <v>157739</v>
      </c>
      <c r="I2" s="30" t="n">
        <f aca="false">Annual_Data!I2</f>
        <v>128805</v>
      </c>
      <c r="J2" s="14" t="n">
        <f aca="false">SUMIFS(Monthly_Data!$K$2:$K$361,Monthly_Data!$A$2:$A$361,A2,Monthly_Data!$C$2:$C$361,B2)</f>
        <v>128805</v>
      </c>
      <c r="K2" s="30" t="n">
        <f aca="false">Annual_Data!F2</f>
        <v>2218</v>
      </c>
      <c r="L2" s="14" t="n">
        <f aca="false">SUMPRODUCT((Monthly_Data!$A$2:$A$361=A2)*(Monthly_Data!$C$2:$C$361=B2)*Monthly_Data!$I$2:$I$361*Monthly_Data!$E$2:$E$361)/SUMIFS(Monthly_Data!$E$2:$E$361,Monthly_Data!$A$2:$A$361,A2,Monthly_Data!$C$2:$C$361,B2)</f>
        <v>2217.99999999984</v>
      </c>
    </row>
    <row r="3" customFormat="false" ht="15" hidden="false" customHeight="true" outlineLevel="0" collapsed="false">
      <c r="A3" s="3" t="s">
        <v>13</v>
      </c>
      <c r="B3" s="3" t="n">
        <v>2022</v>
      </c>
      <c r="C3" s="30" t="n">
        <f aca="false">Annual_Data!C3</f>
        <v>30.4</v>
      </c>
      <c r="D3" s="14" t="n">
        <f aca="false">SUMIFS(Monthly_Data!$F$2:$F$361,Monthly_Data!$A$2:$A$361,A3,Monthly_Data!$C$2:$C$361,B3)</f>
        <v>30.4000000000304</v>
      </c>
      <c r="E3" s="30" t="n">
        <f aca="false">Annual_Data!D3</f>
        <v>1.4</v>
      </c>
      <c r="F3" s="14" t="n">
        <f aca="false">SUMIFS(Monthly_Data!$G$2:$G$361,Monthly_Data!$A$2:$A$361,A3,Monthly_Data!$C$2:$C$361,B3)</f>
        <v>1.4</v>
      </c>
      <c r="G3" s="30" t="n">
        <f aca="false">Annual_Data!H3</f>
        <v>241392</v>
      </c>
      <c r="H3" s="14" t="n">
        <f aca="false">SUMIFS(Monthly_Data!$J$2:$J$361,Monthly_Data!$A$2:$A$361,A3,Monthly_Data!$C$2:$C$361,B3)</f>
        <v>241391.999999759</v>
      </c>
      <c r="I3" s="30" t="n">
        <f aca="false">Annual_Data!I3</f>
        <v>121697</v>
      </c>
      <c r="J3" s="14" t="n">
        <f aca="false">SUMIFS(Monthly_Data!$K$2:$K$361,Monthly_Data!$A$2:$A$361,A3,Monthly_Data!$C$2:$C$361,B3)</f>
        <v>121696.999999878</v>
      </c>
      <c r="K3" s="30" t="n">
        <f aca="false">Annual_Data!F3</f>
        <v>2253</v>
      </c>
      <c r="L3" s="14" t="n">
        <f aca="false">SUMPRODUCT((Monthly_Data!$A$2:$A$361=A3)*(Monthly_Data!$C$2:$C$361=B3)*Monthly_Data!$I$2:$I$361*Monthly_Data!$E$2:$E$361)/SUMIFS(Monthly_Data!$E$2:$E$361,Monthly_Data!$A$2:$A$361,A3,Monthly_Data!$C$2:$C$361,B3)</f>
        <v>2253.00000000015</v>
      </c>
    </row>
    <row r="4" customFormat="false" ht="15" hidden="false" customHeight="true" outlineLevel="0" collapsed="false">
      <c r="A4" s="3" t="s">
        <v>13</v>
      </c>
      <c r="B4" s="3" t="n">
        <v>2023</v>
      </c>
      <c r="C4" s="30" t="n">
        <f aca="false">Annual_Data!C4</f>
        <v>31.1</v>
      </c>
      <c r="D4" s="14" t="n">
        <f aca="false">SUMIFS(Monthly_Data!$F$2:$F$361,Monthly_Data!$A$2:$A$361,A4,Monthly_Data!$C$2:$C$361,B4)</f>
        <v>31.0999999999689</v>
      </c>
      <c r="E4" s="30" t="n">
        <f aca="false">Annual_Data!D4</f>
        <v>1</v>
      </c>
      <c r="F4" s="14" t="n">
        <f aca="false">SUMIFS(Monthly_Data!$G$2:$G$361,Monthly_Data!$A$2:$A$361,A4,Monthly_Data!$C$2:$C$361,B4)</f>
        <v>1.000000000001</v>
      </c>
      <c r="G4" s="30" t="n">
        <f aca="false">Annual_Data!H4</f>
        <v>210130</v>
      </c>
      <c r="H4" s="14" t="n">
        <f aca="false">SUMIFS(Monthly_Data!$J$2:$J$361,Monthly_Data!$A$2:$A$361,A4,Monthly_Data!$C$2:$C$361,B4)</f>
        <v>210129.99999958</v>
      </c>
      <c r="I4" s="30" t="n">
        <f aca="false">Annual_Data!I4</f>
        <v>124770</v>
      </c>
      <c r="J4" s="14" t="n">
        <f aca="false">SUMIFS(Monthly_Data!$K$2:$K$361,Monthly_Data!$A$2:$A$361,A4,Monthly_Data!$C$2:$C$361,B4)</f>
        <v>124770</v>
      </c>
      <c r="K4" s="30" t="n">
        <f aca="false">Annual_Data!F4</f>
        <v>2313</v>
      </c>
      <c r="L4" s="14" t="n">
        <f aca="false">SUMPRODUCT((Monthly_Data!$A$2:$A$361=A4)*(Monthly_Data!$C$2:$C$361=B4)*Monthly_Data!$I$2:$I$361*Monthly_Data!$E$2:$E$361)/SUMIFS(Monthly_Data!$E$2:$E$361,Monthly_Data!$A$2:$A$361,A4,Monthly_Data!$C$2:$C$361,B4)</f>
        <v>2312.99999999998</v>
      </c>
    </row>
    <row r="5" customFormat="false" ht="15" hidden="false" customHeight="true" outlineLevel="0" collapsed="false">
      <c r="A5" s="3" t="s">
        <v>13</v>
      </c>
      <c r="B5" s="3" t="n">
        <v>2024</v>
      </c>
      <c r="C5" s="30" t="n">
        <f aca="false">Annual_Data!C5</f>
        <v>32.8</v>
      </c>
      <c r="D5" s="14" t="n">
        <f aca="false">SUMIFS(Monthly_Data!$F$2:$F$361,Monthly_Data!$A$2:$A$361,A5,Monthly_Data!$C$2:$C$361,B5)</f>
        <v>32.8000000000656</v>
      </c>
      <c r="E5" s="30" t="n">
        <f aca="false">Annual_Data!D5</f>
        <v>0.8</v>
      </c>
      <c r="F5" s="14" t="n">
        <f aca="false">SUMIFS(Monthly_Data!$G$2:$G$361,Monthly_Data!$A$2:$A$361,A5,Monthly_Data!$C$2:$C$361,B5)</f>
        <v>0.8</v>
      </c>
      <c r="G5" s="30" t="n">
        <f aca="false">Annual_Data!H5</f>
        <v>189185</v>
      </c>
      <c r="H5" s="14" t="n">
        <f aca="false">SUMIFS(Monthly_Data!$J$2:$J$361,Monthly_Data!$A$2:$A$361,A5,Monthly_Data!$C$2:$C$361,B5)</f>
        <v>189184.999999811</v>
      </c>
      <c r="I5" s="30" t="n">
        <f aca="false">Annual_Data!I5</f>
        <v>129872</v>
      </c>
      <c r="J5" s="14" t="n">
        <f aca="false">SUMIFS(Monthly_Data!$K$2:$K$361,Monthly_Data!$A$2:$A$361,A5,Monthly_Data!$C$2:$C$361,B5)</f>
        <v>129872</v>
      </c>
      <c r="K5" s="30" t="n">
        <f aca="false">Annual_Data!F5</f>
        <v>2358</v>
      </c>
      <c r="L5" s="14" t="n">
        <f aca="false">SUMPRODUCT((Monthly_Data!$A$2:$A$361=A5)*(Monthly_Data!$C$2:$C$361=B5)*Monthly_Data!$I$2:$I$361*Monthly_Data!$E$2:$E$361)/SUMIFS(Monthly_Data!$E$2:$E$361,Monthly_Data!$A$2:$A$361,A5,Monthly_Data!$C$2:$C$361,B5)</f>
        <v>2357.99999999987</v>
      </c>
    </row>
    <row r="6" customFormat="false" ht="15" hidden="false" customHeight="true" outlineLevel="0" collapsed="false">
      <c r="A6" s="3" t="s">
        <v>13</v>
      </c>
      <c r="B6" s="3" t="n">
        <v>2025</v>
      </c>
      <c r="C6" s="30" t="n">
        <f aca="false">Annual_Data!C6</f>
        <v>33.7</v>
      </c>
      <c r="D6" s="14" t="n">
        <f aca="false">SUMIFS(Monthly_Data!$F$2:$F$361,Monthly_Data!$A$2:$A$361,A6,Monthly_Data!$C$2:$C$361,B6)</f>
        <v>33.6999999999663</v>
      </c>
      <c r="E6" s="30" t="n">
        <f aca="false">Annual_Data!D6</f>
        <v>0.7</v>
      </c>
      <c r="F6" s="14" t="n">
        <f aca="false">SUMIFS(Monthly_Data!$G$2:$G$361,Monthly_Data!$A$2:$A$361,A6,Monthly_Data!$C$2:$C$361,B6)</f>
        <v>0.7</v>
      </c>
      <c r="G6" s="30" t="n">
        <f aca="false">Annual_Data!H6</f>
        <v>189335</v>
      </c>
      <c r="H6" s="14" t="n">
        <f aca="false">SUMIFS(Monthly_Data!$J$2:$J$361,Monthly_Data!$A$2:$A$361,A6,Monthly_Data!$C$2:$C$361,B6)</f>
        <v>189334.999999811</v>
      </c>
      <c r="I6" s="30" t="n">
        <f aca="false">Annual_Data!I6</f>
        <v>134448</v>
      </c>
      <c r="J6" s="14" t="n">
        <f aca="false">SUMIFS(Monthly_Data!$K$2:$K$361,Monthly_Data!$A$2:$A$361,A6,Monthly_Data!$C$2:$C$361,B6)</f>
        <v>134447.999999866</v>
      </c>
      <c r="K6" s="30" t="n">
        <f aca="false">Annual_Data!F6</f>
        <v>2312</v>
      </c>
      <c r="L6" s="14" t="n">
        <f aca="false">SUMPRODUCT((Monthly_Data!$A$2:$A$361=A6)*(Monthly_Data!$C$2:$C$361=B6)*Monthly_Data!$I$2:$I$361*Monthly_Data!$E$2:$E$361)/SUMIFS(Monthly_Data!$E$2:$E$361,Monthly_Data!$A$2:$A$361,A6,Monthly_Data!$C$2:$C$361,B6)</f>
        <v>2311.9999999998</v>
      </c>
    </row>
    <row r="7" customFormat="false" ht="15" hidden="false" customHeight="true" outlineLevel="0" collapsed="false">
      <c r="A7" s="3" t="s">
        <v>16</v>
      </c>
      <c r="B7" s="3" t="n">
        <v>2021</v>
      </c>
      <c r="C7" s="30" t="n">
        <f aca="false">Annual_Data!C7</f>
        <v>57</v>
      </c>
      <c r="D7" s="14" t="n">
        <f aca="false">SUMIFS(Monthly_Data!$F$2:$F$361,Monthly_Data!$A$2:$A$361,A7,Monthly_Data!$C$2:$C$361,B7)</f>
        <v>57</v>
      </c>
      <c r="E7" s="30" t="n">
        <f aca="false">Annual_Data!D7</f>
        <v>2</v>
      </c>
      <c r="F7" s="14" t="n">
        <f aca="false">SUMIFS(Monthly_Data!$G$2:$G$361,Monthly_Data!$A$2:$A$361,A7,Monthly_Data!$C$2:$C$361,B7)</f>
        <v>2</v>
      </c>
      <c r="G7" s="30" t="n">
        <f aca="false">Annual_Data!H7</f>
        <v>155606</v>
      </c>
      <c r="H7" s="14" t="n">
        <f aca="false">SUMIFS(Monthly_Data!$J$2:$J$361,Monthly_Data!$A$2:$A$361,A7,Monthly_Data!$C$2:$C$361,B7)</f>
        <v>155606</v>
      </c>
      <c r="I7" s="30" t="n">
        <f aca="false">Annual_Data!I7</f>
        <v>205833</v>
      </c>
      <c r="J7" s="14" t="n">
        <f aca="false">SUMIFS(Monthly_Data!$K$2:$K$361,Monthly_Data!$A$2:$A$361,A7,Monthly_Data!$C$2:$C$361,B7)</f>
        <v>205832.999999794</v>
      </c>
      <c r="K7" s="30" t="n">
        <f aca="false">Annual_Data!F7</f>
        <v>3099</v>
      </c>
      <c r="L7" s="14" t="n">
        <f aca="false">SUMPRODUCT((Monthly_Data!$A$2:$A$361=A7)*(Monthly_Data!$C$2:$C$361=B7)*Monthly_Data!$I$2:$I$361*Monthly_Data!$E$2:$E$361)/SUMIFS(Monthly_Data!$E$2:$E$361,Monthly_Data!$A$2:$A$361,A7,Monthly_Data!$C$2:$C$361,B7)</f>
        <v>3099.00000000026</v>
      </c>
    </row>
    <row r="8" customFormat="false" ht="15" hidden="false" customHeight="true" outlineLevel="0" collapsed="false">
      <c r="A8" s="3" t="s">
        <v>16</v>
      </c>
      <c r="B8" s="3" t="n">
        <v>2022</v>
      </c>
      <c r="C8" s="30" t="n">
        <f aca="false">Annual_Data!C8</f>
        <v>53</v>
      </c>
      <c r="D8" s="14" t="n">
        <f aca="false">SUMIFS(Monthly_Data!$F$2:$F$361,Monthly_Data!$A$2:$A$361,A8,Monthly_Data!$C$2:$C$361,B8)</f>
        <v>53</v>
      </c>
      <c r="E8" s="30" t="n">
        <f aca="false">Annual_Data!D8</f>
        <v>1</v>
      </c>
      <c r="F8" s="14" t="n">
        <f aca="false">SUMIFS(Monthly_Data!$G$2:$G$361,Monthly_Data!$A$2:$A$361,A8,Monthly_Data!$C$2:$C$361,B8)</f>
        <v>1</v>
      </c>
      <c r="G8" s="30" t="n">
        <f aca="false">Annual_Data!H8</f>
        <v>235717</v>
      </c>
      <c r="H8" s="14" t="n">
        <f aca="false">SUMIFS(Monthly_Data!$J$2:$J$361,Monthly_Data!$A$2:$A$361,A8,Monthly_Data!$C$2:$C$361,B8)</f>
        <v>235717</v>
      </c>
      <c r="I8" s="30" t="n">
        <f aca="false">Annual_Data!I8</f>
        <v>184167</v>
      </c>
      <c r="J8" s="14" t="n">
        <f aca="false">SUMIFS(Monthly_Data!$K$2:$K$361,Monthly_Data!$A$2:$A$361,A8,Monthly_Data!$C$2:$C$361,B8)</f>
        <v>184167</v>
      </c>
      <c r="K8" s="30" t="n">
        <f aca="false">Annual_Data!F8</f>
        <v>2999</v>
      </c>
      <c r="L8" s="14" t="n">
        <f aca="false">SUMPRODUCT((Monthly_Data!$A$2:$A$361=A8)*(Monthly_Data!$C$2:$C$361=B8)*Monthly_Data!$I$2:$I$361*Monthly_Data!$E$2:$E$361)/SUMIFS(Monthly_Data!$E$2:$E$361,Monthly_Data!$A$2:$A$361,A8,Monthly_Data!$C$2:$C$361,B8)</f>
        <v>2999.00000000003</v>
      </c>
    </row>
    <row r="9" customFormat="false" ht="15" hidden="false" customHeight="true" outlineLevel="0" collapsed="false">
      <c r="A9" s="3" t="s">
        <v>16</v>
      </c>
      <c r="B9" s="3" t="n">
        <v>2023</v>
      </c>
      <c r="C9" s="30" t="n">
        <f aca="false">Annual_Data!C9</f>
        <v>52</v>
      </c>
      <c r="D9" s="14" t="n">
        <f aca="false">SUMIFS(Monthly_Data!$F$2:$F$361,Monthly_Data!$A$2:$A$361,A9,Monthly_Data!$C$2:$C$361,B9)</f>
        <v>52.000000000052</v>
      </c>
      <c r="E9" s="30" t="n">
        <f aca="false">Annual_Data!D9</f>
        <v>1</v>
      </c>
      <c r="F9" s="14" t="n">
        <f aca="false">SUMIFS(Monthly_Data!$G$2:$G$361,Monthly_Data!$A$2:$A$361,A9,Monthly_Data!$C$2:$C$361,B9)</f>
        <v>1</v>
      </c>
      <c r="G9" s="30" t="n">
        <f aca="false">Annual_Data!H9</f>
        <v>196913</v>
      </c>
      <c r="H9" s="14" t="n">
        <f aca="false">SUMIFS(Monthly_Data!$J$2:$J$361,Monthly_Data!$A$2:$A$361,A9,Monthly_Data!$C$2:$C$361,B9)</f>
        <v>196913.000000197</v>
      </c>
      <c r="I9" s="30" t="n">
        <f aca="false">Annual_Data!I9</f>
        <v>185278</v>
      </c>
      <c r="J9" s="14" t="n">
        <f aca="false">SUMIFS(Monthly_Data!$K$2:$K$361,Monthly_Data!$A$2:$A$361,A9,Monthly_Data!$C$2:$C$361,B9)</f>
        <v>185278</v>
      </c>
      <c r="K9" s="30" t="n">
        <f aca="false">Annual_Data!F9</f>
        <v>3120</v>
      </c>
      <c r="L9" s="14" t="n">
        <f aca="false">SUMPRODUCT((Monthly_Data!$A$2:$A$361=A9)*(Monthly_Data!$C$2:$C$361=B9)*Monthly_Data!$I$2:$I$361*Monthly_Data!$E$2:$E$361)/SUMIFS(Monthly_Data!$E$2:$E$361,Monthly_Data!$A$2:$A$361,A9,Monthly_Data!$C$2:$C$361,B9)</f>
        <v>3119.99999999962</v>
      </c>
    </row>
    <row r="10" customFormat="false" ht="15" hidden="false" customHeight="true" outlineLevel="0" collapsed="false">
      <c r="A10" s="3" t="s">
        <v>16</v>
      </c>
      <c r="B10" s="3" t="n">
        <v>2024</v>
      </c>
      <c r="C10" s="30" t="n">
        <f aca="false">Annual_Data!C10</f>
        <v>53</v>
      </c>
      <c r="D10" s="14" t="n">
        <f aca="false">SUMIFS(Monthly_Data!$F$2:$F$361,Monthly_Data!$A$2:$A$361,A10,Monthly_Data!$C$2:$C$361,B10)</f>
        <v>52.999999999947</v>
      </c>
      <c r="E10" s="30" t="n">
        <f aca="false">Annual_Data!D10</f>
        <v>2</v>
      </c>
      <c r="F10" s="14" t="n">
        <f aca="false">SUMIFS(Monthly_Data!$G$2:$G$361,Monthly_Data!$A$2:$A$361,A10,Monthly_Data!$C$2:$C$361,B10)</f>
        <v>2</v>
      </c>
      <c r="G10" s="30" t="n">
        <f aca="false">Annual_Data!H10</f>
        <v>193414</v>
      </c>
      <c r="H10" s="14" t="n">
        <f aca="false">SUMIFS(Monthly_Data!$J$2:$J$361,Monthly_Data!$A$2:$A$361,A10,Monthly_Data!$C$2:$C$361,B10)</f>
        <v>193413.999999807</v>
      </c>
      <c r="I10" s="30" t="n">
        <f aca="false">Annual_Data!I10</f>
        <v>186944</v>
      </c>
      <c r="J10" s="14" t="n">
        <f aca="false">SUMIFS(Monthly_Data!$K$2:$K$361,Monthly_Data!$A$2:$A$361,A10,Monthly_Data!$C$2:$C$361,B10)</f>
        <v>186943.999999813</v>
      </c>
      <c r="K10" s="30" t="n">
        <f aca="false">Annual_Data!F10</f>
        <v>3338</v>
      </c>
      <c r="L10" s="14" t="n">
        <f aca="false">SUMPRODUCT((Monthly_Data!$A$2:$A$361=A10)*(Monthly_Data!$C$2:$C$361=B10)*Monthly_Data!$I$2:$I$361*Monthly_Data!$E$2:$E$361)/SUMIFS(Monthly_Data!$E$2:$E$361,Monthly_Data!$A$2:$A$361,A10,Monthly_Data!$C$2:$C$361,B10)</f>
        <v>3337.99999999969</v>
      </c>
    </row>
    <row r="11" customFormat="false" ht="15" hidden="false" customHeight="true" outlineLevel="0" collapsed="false">
      <c r="A11" s="3" t="s">
        <v>16</v>
      </c>
      <c r="B11" s="3" t="n">
        <v>2025</v>
      </c>
      <c r="C11" s="30" t="n">
        <f aca="false">Annual_Data!C11</f>
        <v>55</v>
      </c>
      <c r="D11" s="14" t="n">
        <f aca="false">SUMIFS(Monthly_Data!$F$2:$F$361,Monthly_Data!$A$2:$A$361,A11,Monthly_Data!$C$2:$C$361,B11)</f>
        <v>55.000000000055</v>
      </c>
      <c r="E11" s="30" t="n">
        <f aca="false">Annual_Data!D11</f>
        <v>2</v>
      </c>
      <c r="F11" s="14" t="n">
        <f aca="false">SUMIFS(Monthly_Data!$G$2:$G$361,Monthly_Data!$A$2:$A$361,A11,Monthly_Data!$C$2:$C$361,B11)</f>
        <v>2</v>
      </c>
      <c r="G11" s="30" t="n">
        <f aca="false">Annual_Data!H11</f>
        <v>184432</v>
      </c>
      <c r="H11" s="14" t="n">
        <f aca="false">SUMIFS(Monthly_Data!$J$2:$J$361,Monthly_Data!$A$2:$A$361,A11,Monthly_Data!$C$2:$C$361,B11)</f>
        <v>184432</v>
      </c>
      <c r="I11" s="30" t="n">
        <f aca="false">Annual_Data!I11</f>
        <v>197778</v>
      </c>
      <c r="J11" s="14" t="n">
        <f aca="false">SUMIFS(Monthly_Data!$K$2:$K$361,Monthly_Data!$A$2:$A$361,A11,Monthly_Data!$C$2:$C$361,B11)</f>
        <v>197778.000000198</v>
      </c>
      <c r="K11" s="30" t="n">
        <f aca="false">Annual_Data!F11</f>
        <v>3723</v>
      </c>
      <c r="L11" s="14" t="n">
        <f aca="false">SUMPRODUCT((Monthly_Data!$A$2:$A$361=A11)*(Monthly_Data!$C$2:$C$361=B11)*Monthly_Data!$I$2:$I$361*Monthly_Data!$E$2:$E$361)/SUMIFS(Monthly_Data!$E$2:$E$361,Monthly_Data!$A$2:$A$361,A11,Monthly_Data!$C$2:$C$361,B11)</f>
        <v>3722.99999999994</v>
      </c>
    </row>
    <row r="12" customFormat="false" ht="15" hidden="false" customHeight="true" outlineLevel="0" collapsed="false">
      <c r="A12" s="3" t="s">
        <v>19</v>
      </c>
      <c r="B12" s="3" t="n">
        <v>2021</v>
      </c>
      <c r="C12" s="30" t="n">
        <f aca="false">Annual_Data!C12</f>
        <v>17.7</v>
      </c>
      <c r="D12" s="14" t="n">
        <f aca="false">SUMIFS(Monthly_Data!$F$2:$F$361,Monthly_Data!$A$2:$A$361,A12,Monthly_Data!$C$2:$C$361,B12)</f>
        <v>17.7000000000354</v>
      </c>
      <c r="E12" s="30" t="n">
        <f aca="false">Annual_Data!D12</f>
        <v>1.03</v>
      </c>
      <c r="F12" s="14" t="n">
        <f aca="false">SUMIFS(Monthly_Data!$G$2:$G$361,Monthly_Data!$A$2:$A$361,A12,Monthly_Data!$C$2:$C$361,B12)</f>
        <v>1.03</v>
      </c>
      <c r="G12" s="30" t="n">
        <f aca="false">Annual_Data!H12</f>
        <v>45828</v>
      </c>
      <c r="H12" s="14" t="n">
        <f aca="false">SUMIFS(Monthly_Data!$J$2:$J$361,Monthly_Data!$A$2:$A$361,A12,Monthly_Data!$C$2:$C$361,B12)</f>
        <v>45828</v>
      </c>
      <c r="I12" s="30" t="n">
        <f aca="false">Annual_Data!I12</f>
        <v>63596</v>
      </c>
      <c r="J12" s="14" t="n">
        <f aca="false">SUMIFS(Monthly_Data!$K$2:$K$361,Monthly_Data!$A$2:$A$361,A12,Monthly_Data!$C$2:$C$361,B12)</f>
        <v>63595.9999999364</v>
      </c>
      <c r="K12" s="30" t="n">
        <f aca="false">Annual_Data!F12</f>
        <v>1901</v>
      </c>
      <c r="L12" s="14" t="n">
        <f aca="false">SUMPRODUCT((Monthly_Data!$A$2:$A$361=A12)*(Monthly_Data!$C$2:$C$361=B12)*Monthly_Data!$I$2:$I$361*Monthly_Data!$E$2:$E$361)/SUMIFS(Monthly_Data!$E$2:$E$361,Monthly_Data!$A$2:$A$361,A12,Monthly_Data!$C$2:$C$361,B12)</f>
        <v>1901.00000000009</v>
      </c>
    </row>
    <row r="13" customFormat="false" ht="15" hidden="false" customHeight="true" outlineLevel="0" collapsed="false">
      <c r="A13" s="3" t="s">
        <v>19</v>
      </c>
      <c r="B13" s="3" t="n">
        <v>2022</v>
      </c>
      <c r="C13" s="30" t="n">
        <f aca="false">Annual_Data!C13</f>
        <v>15</v>
      </c>
      <c r="D13" s="14" t="n">
        <f aca="false">SUMIFS(Monthly_Data!$F$2:$F$361,Monthly_Data!$A$2:$A$361,A13,Monthly_Data!$C$2:$C$361,B13)</f>
        <v>15.000000000015</v>
      </c>
      <c r="E13" s="30" t="n">
        <f aca="false">Annual_Data!D13</f>
        <v>1.06</v>
      </c>
      <c r="F13" s="14" t="n">
        <f aca="false">SUMIFS(Monthly_Data!$G$2:$G$361,Monthly_Data!$A$2:$A$361,A13,Monthly_Data!$C$2:$C$361,B13)</f>
        <v>1.06</v>
      </c>
      <c r="G13" s="30" t="n">
        <f aca="false">Annual_Data!H13</f>
        <v>78494</v>
      </c>
      <c r="H13" s="14" t="n">
        <f aca="false">SUMIFS(Monthly_Data!$J$2:$J$361,Monthly_Data!$A$2:$A$361,A13,Monthly_Data!$C$2:$C$361,B13)</f>
        <v>78494</v>
      </c>
      <c r="I13" s="30" t="n">
        <f aca="false">Annual_Data!I13</f>
        <v>60373</v>
      </c>
      <c r="J13" s="14" t="n">
        <f aca="false">SUMIFS(Monthly_Data!$K$2:$K$361,Monthly_Data!$A$2:$A$361,A13,Monthly_Data!$C$2:$C$361,B13)</f>
        <v>60373.0000000604</v>
      </c>
      <c r="K13" s="30" t="n">
        <f aca="false">Annual_Data!F13</f>
        <v>1885</v>
      </c>
      <c r="L13" s="14" t="n">
        <f aca="false">SUMPRODUCT((Monthly_Data!$A$2:$A$361=A13)*(Monthly_Data!$C$2:$C$361=B13)*Monthly_Data!$I$2:$I$361*Monthly_Data!$E$2:$E$361)/SUMIFS(Monthly_Data!$E$2:$E$361,Monthly_Data!$A$2:$A$361,A13,Monthly_Data!$C$2:$C$361,B13)</f>
        <v>1885.00000000005</v>
      </c>
    </row>
    <row r="14" customFormat="false" ht="15" hidden="false" customHeight="true" outlineLevel="0" collapsed="false">
      <c r="A14" s="3" t="s">
        <v>19</v>
      </c>
      <c r="B14" s="3" t="n">
        <v>2023</v>
      </c>
      <c r="C14" s="30" t="n">
        <f aca="false">Annual_Data!C14</f>
        <v>16.4</v>
      </c>
      <c r="D14" s="14" t="n">
        <f aca="false">SUMIFS(Monthly_Data!$F$2:$F$361,Monthly_Data!$A$2:$A$361,A14,Monthly_Data!$C$2:$C$361,B14)</f>
        <v>16.4000000000164</v>
      </c>
      <c r="E14" s="30" t="n">
        <f aca="false">Annual_Data!D14</f>
        <v>1</v>
      </c>
      <c r="F14" s="14" t="n">
        <f aca="false">SUMIFS(Monthly_Data!$G$2:$G$361,Monthly_Data!$A$2:$A$361,A14,Monthly_Data!$C$2:$C$361,B14)</f>
        <v>1</v>
      </c>
      <c r="G14" s="30" t="n">
        <f aca="false">Annual_Data!H14</f>
        <v>56141</v>
      </c>
      <c r="H14" s="14" t="n">
        <f aca="false">SUMIFS(Monthly_Data!$J$2:$J$361,Monthly_Data!$A$2:$A$361,A14,Monthly_Data!$C$2:$C$361,B14)</f>
        <v>56141.0000000561</v>
      </c>
      <c r="I14" s="30" t="n">
        <f aca="false">Annual_Data!I14</f>
        <v>60080</v>
      </c>
      <c r="J14" s="14" t="n">
        <f aca="false">SUMIFS(Monthly_Data!$K$2:$K$361,Monthly_Data!$A$2:$A$361,A14,Monthly_Data!$C$2:$C$361,B14)</f>
        <v>60079.9999998798</v>
      </c>
      <c r="K14" s="30" t="n">
        <f aca="false">Annual_Data!F14</f>
        <v>1885</v>
      </c>
      <c r="L14" s="14" t="n">
        <f aca="false">SUMPRODUCT((Monthly_Data!$A$2:$A$361=A14)*(Monthly_Data!$C$2:$C$361=B14)*Monthly_Data!$I$2:$I$361*Monthly_Data!$E$2:$E$361)/SUMIFS(Monthly_Data!$E$2:$E$361,Monthly_Data!$A$2:$A$361,A14,Monthly_Data!$C$2:$C$361,B14)</f>
        <v>1884.99999999988</v>
      </c>
    </row>
    <row r="15" customFormat="false" ht="15" hidden="false" customHeight="true" outlineLevel="0" collapsed="false">
      <c r="A15" s="3" t="s">
        <v>19</v>
      </c>
      <c r="B15" s="3" t="n">
        <v>2024</v>
      </c>
      <c r="C15" s="30" t="n">
        <f aca="false">Annual_Data!C15</f>
        <v>15.5</v>
      </c>
      <c r="D15" s="14" t="n">
        <f aca="false">SUMIFS(Monthly_Data!$F$2:$F$361,Monthly_Data!$A$2:$A$361,A15,Monthly_Data!$C$2:$C$361,B15)</f>
        <v>15.5000000000155</v>
      </c>
      <c r="E15" s="30" t="n">
        <f aca="false">Annual_Data!D15</f>
        <v>0.93</v>
      </c>
      <c r="F15" s="14" t="n">
        <f aca="false">SUMIFS(Monthly_Data!$G$2:$G$361,Monthly_Data!$A$2:$A$361,A15,Monthly_Data!$C$2:$C$361,B15)</f>
        <v>0.93</v>
      </c>
      <c r="G15" s="30" t="n">
        <f aca="false">Annual_Data!H15</f>
        <v>54745</v>
      </c>
      <c r="H15" s="14" t="n">
        <f aca="false">SUMIFS(Monthly_Data!$J$2:$J$361,Monthly_Data!$A$2:$A$361,A15,Monthly_Data!$C$2:$C$361,B15)</f>
        <v>54744.9999999453</v>
      </c>
      <c r="I15" s="30" t="n">
        <f aca="false">Annual_Data!I15</f>
        <v>60959</v>
      </c>
      <c r="J15" s="14" t="n">
        <f aca="false">SUMIFS(Monthly_Data!$K$2:$K$361,Monthly_Data!$A$2:$A$361,A15,Monthly_Data!$C$2:$C$361,B15)</f>
        <v>60958.999999939</v>
      </c>
      <c r="K15" s="30" t="n">
        <f aca="false">Annual_Data!F15</f>
        <v>2003</v>
      </c>
      <c r="L15" s="14" t="n">
        <f aca="false">SUMPRODUCT((Monthly_Data!$A$2:$A$361=A15)*(Monthly_Data!$C$2:$C$361=B15)*Monthly_Data!$I$2:$I$361*Monthly_Data!$E$2:$E$361)/SUMIFS(Monthly_Data!$E$2:$E$361,Monthly_Data!$A$2:$A$361,A15,Monthly_Data!$C$2:$C$361,B15)</f>
        <v>2003.00000000004</v>
      </c>
    </row>
    <row r="16" customFormat="false" ht="15" hidden="false" customHeight="true" outlineLevel="0" collapsed="false">
      <c r="A16" s="3" t="s">
        <v>19</v>
      </c>
      <c r="B16" s="3" t="n">
        <v>2025</v>
      </c>
      <c r="C16" s="30" t="n">
        <f aca="false">Annual_Data!C16</f>
        <v>18.4</v>
      </c>
      <c r="D16" s="14" t="n">
        <f aca="false">SUMIFS(Monthly_Data!$F$2:$F$361,Monthly_Data!$A$2:$A$361,A16,Monthly_Data!$C$2:$C$361,B16)</f>
        <v>18.4</v>
      </c>
      <c r="E16" s="30" t="n">
        <f aca="false">Annual_Data!D16</f>
        <v>1.18</v>
      </c>
      <c r="F16" s="14" t="n">
        <f aca="false">SUMIFS(Monthly_Data!$G$2:$G$361,Monthly_Data!$A$2:$A$361,A16,Monthly_Data!$C$2:$C$361,B16)</f>
        <v>1.17999999999882</v>
      </c>
      <c r="G16" s="30" t="n">
        <f aca="false">Annual_Data!H16</f>
        <v>58944</v>
      </c>
      <c r="H16" s="14" t="n">
        <f aca="false">SUMIFS(Monthly_Data!$J$2:$J$361,Monthly_Data!$A$2:$A$361,A16,Monthly_Data!$C$2:$C$361,B16)</f>
        <v>58944</v>
      </c>
      <c r="I16" s="30" t="n">
        <f aca="false">Annual_Data!I16</f>
        <v>72682</v>
      </c>
      <c r="J16" s="14" t="n">
        <f aca="false">SUMIFS(Monthly_Data!$K$2:$K$361,Monthly_Data!$A$2:$A$361,A16,Monthly_Data!$C$2:$C$361,B16)</f>
        <v>72682.0000000727</v>
      </c>
      <c r="K16" s="30" t="n">
        <f aca="false">Annual_Data!F16</f>
        <v>2742</v>
      </c>
      <c r="L16" s="14" t="n">
        <f aca="false">SUMPRODUCT((Monthly_Data!$A$2:$A$361=A16)*(Monthly_Data!$C$2:$C$361=B16)*Monthly_Data!$I$2:$I$361*Monthly_Data!$E$2:$E$361)/SUMIFS(Monthly_Data!$E$2:$E$361,Monthly_Data!$A$2:$A$361,A16,Monthly_Data!$C$2:$C$361,B16)</f>
        <v>2741.99999999995</v>
      </c>
    </row>
    <row r="17" customFormat="false" ht="15" hidden="false" customHeight="true" outlineLevel="0" collapsed="false">
      <c r="A17" s="3" t="s">
        <v>22</v>
      </c>
      <c r="B17" s="3" t="n">
        <v>2021</v>
      </c>
      <c r="C17" s="30" t="n">
        <f aca="false">Annual_Data!C17</f>
        <v>12.01</v>
      </c>
      <c r="D17" s="14" t="n">
        <f aca="false">SUMIFS(Monthly_Data!$F$2:$F$361,Monthly_Data!$A$2:$A$361,A17,Monthly_Data!$C$2:$C$361,B17)</f>
        <v>12.010000000012</v>
      </c>
      <c r="E17" s="30" t="n">
        <f aca="false">Annual_Data!D17</f>
        <v>0.1</v>
      </c>
      <c r="F17" s="14" t="n">
        <f aca="false">SUMIFS(Monthly_Data!$G$2:$G$361,Monthly_Data!$A$2:$A$361,A17,Monthly_Data!$C$2:$C$361,B17)</f>
        <v>0.1</v>
      </c>
      <c r="G17" s="30" t="n">
        <f aca="false">Annual_Data!H17</f>
        <v>88744</v>
      </c>
      <c r="H17" s="14" t="n">
        <f aca="false">SUMIFS(Monthly_Data!$J$2:$J$361,Monthly_Data!$A$2:$A$361,A17,Monthly_Data!$C$2:$C$361,B17)</f>
        <v>88744.0000001775</v>
      </c>
      <c r="I17" s="30" t="n">
        <f aca="false">Annual_Data!I17</f>
        <v>59000</v>
      </c>
      <c r="J17" s="14" t="n">
        <f aca="false">SUMIFS(Monthly_Data!$K$2:$K$361,Monthly_Data!$A$2:$A$361,A17,Monthly_Data!$C$2:$C$361,B17)</f>
        <v>58999.999999941</v>
      </c>
      <c r="K17" s="30" t="n">
        <f aca="false">Annual_Data!F17</f>
        <v>2079</v>
      </c>
      <c r="L17" s="14" t="n">
        <f aca="false">SUMPRODUCT((Monthly_Data!$A$2:$A$361=A17)*(Monthly_Data!$C$2:$C$361=B17)*Monthly_Data!$I$2:$I$361*Monthly_Data!$E$2:$E$361)/SUMIFS(Monthly_Data!$E$2:$E$361,Monthly_Data!$A$2:$A$361,A17,Monthly_Data!$C$2:$C$361,B17)</f>
        <v>2078.9999999996</v>
      </c>
    </row>
    <row r="18" customFormat="false" ht="15" hidden="false" customHeight="true" outlineLevel="0" collapsed="false">
      <c r="A18" s="3" t="s">
        <v>22</v>
      </c>
      <c r="B18" s="3" t="n">
        <v>2022</v>
      </c>
      <c r="C18" s="30" t="n">
        <f aca="false">Annual_Data!C18</f>
        <v>11.37</v>
      </c>
      <c r="D18" s="14" t="n">
        <f aca="false">SUMIFS(Monthly_Data!$F$2:$F$361,Monthly_Data!$A$2:$A$361,A18,Monthly_Data!$C$2:$C$361,B18)</f>
        <v>11.37</v>
      </c>
      <c r="E18" s="30" t="n">
        <f aca="false">Annual_Data!D18</f>
        <v>0.07</v>
      </c>
      <c r="F18" s="14" t="n">
        <f aca="false">SUMIFS(Monthly_Data!$G$2:$G$361,Monthly_Data!$A$2:$A$361,A18,Monthly_Data!$C$2:$C$361,B18)</f>
        <v>0.07000000000014</v>
      </c>
      <c r="G18" s="30" t="n">
        <f aca="false">Annual_Data!H18</f>
        <v>149004</v>
      </c>
      <c r="H18" s="14" t="n">
        <f aca="false">SUMIFS(Monthly_Data!$J$2:$J$361,Monthly_Data!$A$2:$A$361,A18,Monthly_Data!$C$2:$C$361,B18)</f>
        <v>149003.999999851</v>
      </c>
      <c r="I18" s="30" t="n">
        <f aca="false">Annual_Data!I18</f>
        <v>56000</v>
      </c>
      <c r="J18" s="14" t="n">
        <f aca="false">SUMIFS(Monthly_Data!$K$2:$K$361,Monthly_Data!$A$2:$A$361,A18,Monthly_Data!$C$2:$C$361,B18)</f>
        <v>56000.000000056</v>
      </c>
      <c r="K18" s="30" t="n">
        <f aca="false">Annual_Data!F18</f>
        <v>2039</v>
      </c>
      <c r="L18" s="14" t="n">
        <f aca="false">SUMPRODUCT((Monthly_Data!$A$2:$A$361=A18)*(Monthly_Data!$C$2:$C$361=B18)*Monthly_Data!$I$2:$I$361*Monthly_Data!$E$2:$E$361)/SUMIFS(Monthly_Data!$E$2:$E$361,Monthly_Data!$A$2:$A$361,A18,Monthly_Data!$C$2:$C$361,B18)</f>
        <v>2038.99999999988</v>
      </c>
    </row>
    <row r="19" customFormat="false" ht="15" hidden="false" customHeight="true" outlineLevel="0" collapsed="false">
      <c r="A19" s="3" t="s">
        <v>22</v>
      </c>
      <c r="B19" s="3" t="n">
        <v>2023</v>
      </c>
      <c r="C19" s="30" t="n">
        <f aca="false">Annual_Data!C19</f>
        <v>11.48</v>
      </c>
      <c r="D19" s="14" t="n">
        <f aca="false">SUMIFS(Monthly_Data!$F$2:$F$361,Monthly_Data!$A$2:$A$361,A19,Monthly_Data!$C$2:$C$361,B19)</f>
        <v>11.48</v>
      </c>
      <c r="E19" s="30" t="n">
        <f aca="false">Annual_Data!D19</f>
        <v>0.13</v>
      </c>
      <c r="F19" s="14" t="n">
        <f aca="false">SUMIFS(Monthly_Data!$G$2:$G$361,Monthly_Data!$A$2:$A$361,A19,Monthly_Data!$C$2:$C$361,B19)</f>
        <v>0.13</v>
      </c>
      <c r="G19" s="30" t="n">
        <f aca="false">Annual_Data!H19</f>
        <v>106848</v>
      </c>
      <c r="H19" s="14" t="n">
        <f aca="false">SUMIFS(Monthly_Data!$J$2:$J$361,Monthly_Data!$A$2:$A$361,A19,Monthly_Data!$C$2:$C$361,B19)</f>
        <v>106848</v>
      </c>
      <c r="I19" s="30" t="n">
        <f aca="false">Annual_Data!I19</f>
        <v>58000</v>
      </c>
      <c r="J19" s="14" t="n">
        <f aca="false">SUMIFS(Monthly_Data!$K$2:$K$361,Monthly_Data!$A$2:$A$361,A19,Monthly_Data!$C$2:$C$361,B19)</f>
        <v>58000</v>
      </c>
      <c r="K19" s="30" t="n">
        <f aca="false">Annual_Data!F19</f>
        <v>2082</v>
      </c>
      <c r="L19" s="14" t="n">
        <f aca="false">SUMPRODUCT((Monthly_Data!$A$2:$A$361=A19)*(Monthly_Data!$C$2:$C$361=B19)*Monthly_Data!$I$2:$I$361*Monthly_Data!$E$2:$E$361)/SUMIFS(Monthly_Data!$E$2:$E$361,Monthly_Data!$A$2:$A$361,A19,Monthly_Data!$C$2:$C$361,B19)</f>
        <v>2081.99999999996</v>
      </c>
    </row>
    <row r="20" customFormat="false" ht="15" hidden="false" customHeight="true" outlineLevel="0" collapsed="false">
      <c r="A20" s="3" t="s">
        <v>22</v>
      </c>
      <c r="B20" s="3" t="n">
        <v>2024</v>
      </c>
      <c r="C20" s="30" t="n">
        <f aca="false">Annual_Data!C20</f>
        <v>10.9</v>
      </c>
      <c r="D20" s="14" t="n">
        <f aca="false">SUMIFS(Monthly_Data!$F$2:$F$361,Monthly_Data!$A$2:$A$361,A20,Monthly_Data!$C$2:$C$361,B20)</f>
        <v>10.8999999999782</v>
      </c>
      <c r="E20" s="30" t="n">
        <f aca="false">Annual_Data!D20</f>
        <v>0.11</v>
      </c>
      <c r="F20" s="14" t="n">
        <f aca="false">SUMIFS(Monthly_Data!$G$2:$G$361,Monthly_Data!$A$2:$A$361,A20,Monthly_Data!$C$2:$C$361,B20)</f>
        <v>0.10999999999989</v>
      </c>
      <c r="G20" s="30" t="n">
        <f aca="false">Annual_Data!H20</f>
        <v>102502</v>
      </c>
      <c r="H20" s="14" t="n">
        <f aca="false">SUMIFS(Monthly_Data!$J$2:$J$361,Monthly_Data!$A$2:$A$361,A20,Monthly_Data!$C$2:$C$361,B20)</f>
        <v>102502</v>
      </c>
      <c r="I20" s="30" t="n">
        <f aca="false">Annual_Data!I20</f>
        <v>56000</v>
      </c>
      <c r="J20" s="14" t="n">
        <f aca="false">SUMIFS(Monthly_Data!$K$2:$K$361,Monthly_Data!$A$2:$A$361,A20,Monthly_Data!$C$2:$C$361,B20)</f>
        <v>55999.999999944</v>
      </c>
      <c r="K20" s="30" t="n">
        <f aca="false">Annual_Data!F20</f>
        <v>2067</v>
      </c>
      <c r="L20" s="14" t="n">
        <f aca="false">SUMPRODUCT((Monthly_Data!$A$2:$A$361=A20)*(Monthly_Data!$C$2:$C$361=B20)*Monthly_Data!$I$2:$I$361*Monthly_Data!$E$2:$E$361)/SUMIFS(Monthly_Data!$E$2:$E$361,Monthly_Data!$A$2:$A$361,A20,Monthly_Data!$C$2:$C$361,B20)</f>
        <v>2067.00000000031</v>
      </c>
    </row>
    <row r="21" customFormat="false" ht="15" hidden="false" customHeight="true" outlineLevel="0" collapsed="false">
      <c r="A21" s="3" t="s">
        <v>22</v>
      </c>
      <c r="B21" s="3" t="n">
        <v>2025</v>
      </c>
      <c r="C21" s="30" t="n">
        <f aca="false">Annual_Data!C21</f>
        <v>10.04</v>
      </c>
      <c r="D21" s="14" t="n">
        <f aca="false">SUMIFS(Monthly_Data!$F$2:$F$361,Monthly_Data!$A$2:$A$361,A21,Monthly_Data!$C$2:$C$361,B21)</f>
        <v>10.04</v>
      </c>
      <c r="E21" s="30" t="n">
        <f aca="false">Annual_Data!D21</f>
        <v>0.05</v>
      </c>
      <c r="F21" s="14" t="n">
        <f aca="false">SUMIFS(Monthly_Data!$G$2:$G$361,Monthly_Data!$A$2:$A$361,A21,Monthly_Data!$C$2:$C$361,B21)</f>
        <v>0.05000000000005</v>
      </c>
      <c r="G21" s="30" t="n">
        <f aca="false">Annual_Data!H21</f>
        <v>105828</v>
      </c>
      <c r="H21" s="14" t="n">
        <f aca="false">SUMIFS(Monthly_Data!$J$2:$J$361,Monthly_Data!$A$2:$A$361,A21,Monthly_Data!$C$2:$C$361,B21)</f>
        <v>105827.999999788</v>
      </c>
      <c r="I21" s="30" t="n">
        <f aca="false">Annual_Data!I21</f>
        <v>49000</v>
      </c>
      <c r="J21" s="14" t="n">
        <f aca="false">SUMIFS(Monthly_Data!$K$2:$K$361,Monthly_Data!$A$2:$A$361,A21,Monthly_Data!$C$2:$C$361,B21)</f>
        <v>49000.000000049</v>
      </c>
      <c r="K21" s="30" t="n">
        <f aca="false">Annual_Data!F21</f>
        <v>2137</v>
      </c>
      <c r="L21" s="14" t="n">
        <f aca="false">SUMPRODUCT((Monthly_Data!$A$2:$A$361=A21)*(Monthly_Data!$C$2:$C$361=B21)*Monthly_Data!$I$2:$I$361*Monthly_Data!$E$2:$E$361)/SUMIFS(Monthly_Data!$E$2:$E$361,Monthly_Data!$A$2:$A$361,A21,Monthly_Data!$C$2:$C$361,B21)</f>
        <v>2136.9999999999</v>
      </c>
    </row>
    <row r="22" customFormat="false" ht="15" hidden="false" customHeight="true" outlineLevel="0" collapsed="false">
      <c r="A22" s="3" t="s">
        <v>25</v>
      </c>
      <c r="B22" s="3" t="n">
        <v>2021</v>
      </c>
      <c r="C22" s="30" t="n">
        <f aca="false">Annual_Data!C22</f>
        <v>98</v>
      </c>
      <c r="D22" s="14" t="n">
        <f aca="false">SUMIFS(Monthly_Data!$F$2:$F$361,Monthly_Data!$A$2:$A$361,A22,Monthly_Data!$C$2:$C$361,B22)</f>
        <v>98.000000000196</v>
      </c>
      <c r="E22" s="30" t="n">
        <f aca="false">Annual_Data!D22</f>
        <v>7</v>
      </c>
      <c r="F22" s="14" t="n">
        <f aca="false">SUMIFS(Monthly_Data!$G$2:$G$361,Monthly_Data!$A$2:$A$361,A22,Monthly_Data!$C$2:$C$361,B22)</f>
        <v>7.000000000007</v>
      </c>
      <c r="G22" s="30" t="n">
        <f aca="false">Annual_Data!H22</f>
        <v>276692</v>
      </c>
      <c r="H22" s="14" t="n">
        <f aca="false">SUMIFS(Monthly_Data!$J$2:$J$361,Monthly_Data!$A$2:$A$361,A22,Monthly_Data!$C$2:$C$361,B22)</f>
        <v>276692</v>
      </c>
      <c r="I22" s="30" t="n">
        <f aca="false">Annual_Data!I22</f>
        <v>416667</v>
      </c>
      <c r="J22" s="14" t="n">
        <f aca="false">SUMIFS(Monthly_Data!$K$2:$K$361,Monthly_Data!$A$2:$A$361,A22,Monthly_Data!$C$2:$C$361,B22)</f>
        <v>416666.999999167</v>
      </c>
      <c r="K22" s="30" t="n">
        <f aca="false">Annual_Data!F22</f>
        <v>3712</v>
      </c>
      <c r="L22" s="14" t="n">
        <f aca="false">SUMPRODUCT((Monthly_Data!$A$2:$A$361=A22)*(Monthly_Data!$C$2:$C$361=B22)*Monthly_Data!$I$2:$I$361*Monthly_Data!$E$2:$E$361)/SUMIFS(Monthly_Data!$E$2:$E$361,Monthly_Data!$A$2:$A$361,A22,Monthly_Data!$C$2:$C$361,B22)</f>
        <v>3711.99999999961</v>
      </c>
    </row>
    <row r="23" customFormat="false" ht="15" hidden="false" customHeight="true" outlineLevel="0" collapsed="false">
      <c r="A23" s="3" t="s">
        <v>25</v>
      </c>
      <c r="B23" s="3" t="n">
        <v>2022</v>
      </c>
      <c r="C23" s="30" t="n">
        <f aca="false">Annual_Data!C23</f>
        <v>97</v>
      </c>
      <c r="D23" s="14" t="n">
        <f aca="false">SUMIFS(Monthly_Data!$F$2:$F$361,Monthly_Data!$A$2:$A$361,A23,Monthly_Data!$C$2:$C$361,B23)</f>
        <v>97.000000000097</v>
      </c>
      <c r="E23" s="30" t="n">
        <f aca="false">Annual_Data!D23</f>
        <v>7</v>
      </c>
      <c r="F23" s="14" t="n">
        <f aca="false">SUMIFS(Monthly_Data!$G$2:$G$361,Monthly_Data!$A$2:$A$361,A23,Monthly_Data!$C$2:$C$361,B23)</f>
        <v>6.999999999993</v>
      </c>
      <c r="G23" s="30" t="n">
        <f aca="false">Annual_Data!H23</f>
        <v>398675</v>
      </c>
      <c r="H23" s="14" t="n">
        <f aca="false">SUMIFS(Monthly_Data!$J$2:$J$361,Monthly_Data!$A$2:$A$361,A23,Monthly_Data!$C$2:$C$361,B23)</f>
        <v>398675</v>
      </c>
      <c r="I23" s="30" t="n">
        <f aca="false">Annual_Data!I23</f>
        <v>416667</v>
      </c>
      <c r="J23" s="14" t="n">
        <f aca="false">SUMIFS(Monthly_Data!$K$2:$K$361,Monthly_Data!$A$2:$A$361,A23,Monthly_Data!$C$2:$C$361,B23)</f>
        <v>416667</v>
      </c>
      <c r="K23" s="30" t="n">
        <f aca="false">Annual_Data!F23</f>
        <v>3737</v>
      </c>
      <c r="L23" s="14" t="n">
        <f aca="false">SUMPRODUCT((Monthly_Data!$A$2:$A$361=A23)*(Monthly_Data!$C$2:$C$361=B23)*Monthly_Data!$I$2:$I$361*Monthly_Data!$E$2:$E$361)/SUMIFS(Monthly_Data!$E$2:$E$361,Monthly_Data!$A$2:$A$361,A23,Monthly_Data!$C$2:$C$361,B23)</f>
        <v>3736.99999999966</v>
      </c>
    </row>
    <row r="24" customFormat="false" ht="15" hidden="false" customHeight="true" outlineLevel="0" collapsed="false">
      <c r="A24" s="3" t="s">
        <v>25</v>
      </c>
      <c r="B24" s="3" t="n">
        <v>2023</v>
      </c>
      <c r="C24" s="30" t="n">
        <f aca="false">Annual_Data!C24</f>
        <v>93</v>
      </c>
      <c r="D24" s="14" t="n">
        <f aca="false">SUMIFS(Monthly_Data!$F$2:$F$361,Monthly_Data!$A$2:$A$361,A24,Monthly_Data!$C$2:$C$361,B24)</f>
        <v>92.999999999907</v>
      </c>
      <c r="E24" s="30" t="n">
        <f aca="false">Annual_Data!D24</f>
        <v>7</v>
      </c>
      <c r="F24" s="14" t="n">
        <f aca="false">SUMIFS(Monthly_Data!$G$2:$G$361,Monthly_Data!$A$2:$A$361,A24,Monthly_Data!$C$2:$C$361,B24)</f>
        <v>6.999999999986</v>
      </c>
      <c r="G24" s="30" t="n">
        <f aca="false">Annual_Data!H24</f>
        <v>334697</v>
      </c>
      <c r="H24" s="14" t="n">
        <f aca="false">SUMIFS(Monthly_Data!$J$2:$J$361,Monthly_Data!$A$2:$A$361,A24,Monthly_Data!$C$2:$C$361,B24)</f>
        <v>334697.000000669</v>
      </c>
      <c r="I24" s="30" t="n">
        <f aca="false">Annual_Data!I24</f>
        <v>416667</v>
      </c>
      <c r="J24" s="14" t="n">
        <f aca="false">SUMIFS(Monthly_Data!$K$2:$K$361,Monthly_Data!$A$2:$A$361,A24,Monthly_Data!$C$2:$C$361,B24)</f>
        <v>416667.000000417</v>
      </c>
      <c r="K24" s="30" t="n">
        <f aca="false">Annual_Data!F24</f>
        <v>3738</v>
      </c>
      <c r="L24" s="14" t="n">
        <f aca="false">SUMPRODUCT((Monthly_Data!$A$2:$A$361=A24)*(Monthly_Data!$C$2:$C$361=B24)*Monthly_Data!$I$2:$I$361*Monthly_Data!$E$2:$E$361)/SUMIFS(Monthly_Data!$E$2:$E$361,Monthly_Data!$A$2:$A$361,A24,Monthly_Data!$C$2:$C$361,B24)</f>
        <v>3737.99999999973</v>
      </c>
    </row>
    <row r="25" customFormat="false" ht="15" hidden="false" customHeight="true" outlineLevel="0" collapsed="false">
      <c r="A25" s="3" t="s">
        <v>25</v>
      </c>
      <c r="B25" s="3" t="n">
        <v>2024</v>
      </c>
      <c r="C25" s="30" t="n">
        <f aca="false">Annual_Data!C25</f>
        <v>92</v>
      </c>
      <c r="D25" s="14" t="n">
        <f aca="false">SUMIFS(Monthly_Data!$F$2:$F$361,Monthly_Data!$A$2:$A$361,A25,Monthly_Data!$C$2:$C$361,B25)</f>
        <v>92.000000000092</v>
      </c>
      <c r="E25" s="30" t="n">
        <f aca="false">Annual_Data!D25</f>
        <v>8</v>
      </c>
      <c r="F25" s="14" t="n">
        <f aca="false">SUMIFS(Monthly_Data!$G$2:$G$361,Monthly_Data!$A$2:$A$361,A25,Monthly_Data!$C$2:$C$361,B25)</f>
        <v>7.999999999976</v>
      </c>
      <c r="G25" s="30" t="n">
        <f aca="false">Annual_Data!H25</f>
        <v>339247</v>
      </c>
      <c r="H25" s="14" t="n">
        <f aca="false">SUMIFS(Monthly_Data!$J$2:$J$361,Monthly_Data!$A$2:$A$361,A25,Monthly_Data!$C$2:$C$361,B25)</f>
        <v>339247</v>
      </c>
      <c r="I25" s="30" t="n">
        <f aca="false">Annual_Data!I25</f>
        <v>388889</v>
      </c>
      <c r="J25" s="14" t="n">
        <f aca="false">SUMIFS(Monthly_Data!$K$2:$K$361,Monthly_Data!$A$2:$A$361,A25,Monthly_Data!$C$2:$C$361,B25)</f>
        <v>388889.000000389</v>
      </c>
      <c r="K25" s="30" t="n">
        <f aca="false">Annual_Data!F25</f>
        <v>4333</v>
      </c>
      <c r="L25" s="14" t="n">
        <f aca="false">SUMPRODUCT((Monthly_Data!$A$2:$A$361=A25)*(Monthly_Data!$C$2:$C$361=B25)*Monthly_Data!$I$2:$I$361*Monthly_Data!$E$2:$E$361)/SUMIFS(Monthly_Data!$E$2:$E$361,Monthly_Data!$A$2:$A$361,A25,Monthly_Data!$C$2:$C$361,B25)</f>
        <v>4332.99999999935</v>
      </c>
    </row>
    <row r="26" customFormat="false" ht="15" hidden="false" customHeight="true" outlineLevel="0" collapsed="false">
      <c r="A26" s="3" t="s">
        <v>25</v>
      </c>
      <c r="B26" s="3" t="n">
        <v>2025</v>
      </c>
      <c r="C26" s="30" t="n">
        <f aca="false">Annual_Data!C26</f>
        <v>90</v>
      </c>
      <c r="D26" s="14" t="n">
        <f aca="false">SUMIFS(Monthly_Data!$F$2:$F$361,Monthly_Data!$A$2:$A$361,A26,Monthly_Data!$C$2:$C$361,B26)</f>
        <v>89.99999999991</v>
      </c>
      <c r="E26" s="30" t="n">
        <f aca="false">Annual_Data!D26</f>
        <v>9</v>
      </c>
      <c r="F26" s="14" t="n">
        <f aca="false">SUMIFS(Monthly_Data!$G$2:$G$361,Monthly_Data!$A$2:$A$361,A26,Monthly_Data!$C$2:$C$361,B26)</f>
        <v>8.999999999991</v>
      </c>
      <c r="G26" s="30" t="n">
        <f aca="false">Annual_Data!H26</f>
        <v>323905</v>
      </c>
      <c r="H26" s="14" t="n">
        <f aca="false">SUMIFS(Monthly_Data!$J$2:$J$361,Monthly_Data!$A$2:$A$361,A26,Monthly_Data!$C$2:$C$361,B26)</f>
        <v>323905</v>
      </c>
      <c r="I26" s="30" t="n">
        <f aca="false">Annual_Data!I26</f>
        <v>388889</v>
      </c>
      <c r="J26" s="14" t="n">
        <f aca="false">SUMIFS(Monthly_Data!$K$2:$K$361,Monthly_Data!$A$2:$A$361,A26,Monthly_Data!$C$2:$C$361,B26)</f>
        <v>388889</v>
      </c>
      <c r="K26" s="30" t="n">
        <f aca="false">Annual_Data!F26</f>
        <v>4736</v>
      </c>
      <c r="L26" s="14" t="n">
        <f aca="false">SUMPRODUCT((Monthly_Data!$A$2:$A$361=A26)*(Monthly_Data!$C$2:$C$361=B26)*Monthly_Data!$I$2:$I$361*Monthly_Data!$E$2:$E$361)/SUMIFS(Monthly_Data!$E$2:$E$361,Monthly_Data!$A$2:$A$361,A26,Monthly_Data!$C$2:$C$361,B26)</f>
        <v>4736.00000000122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0"/>
  </cols>
  <sheetData>
    <row r="1" customFormat="false" ht="45" hidden="false" customHeight="true" outlineLevel="0" collapsed="false">
      <c r="A1" s="2" t="s">
        <v>0</v>
      </c>
      <c r="B1" s="2" t="s">
        <v>72</v>
      </c>
    </row>
    <row r="2" customFormat="false" ht="27.75" hidden="false" customHeight="true" outlineLevel="0" collapsed="false">
      <c r="A2" s="31" t="s">
        <v>13</v>
      </c>
      <c r="B2" s="32" t="s">
        <v>73</v>
      </c>
    </row>
    <row r="3" customFormat="false" ht="15" hidden="false" customHeight="true" outlineLevel="0" collapsed="false">
      <c r="A3" s="31" t="s">
        <v>25</v>
      </c>
      <c r="B3" s="32" t="s">
        <v>74</v>
      </c>
    </row>
    <row r="4" customFormat="false" ht="27.75" hidden="false" customHeight="true" outlineLevel="0" collapsed="false">
      <c r="A4" s="31" t="s">
        <v>25</v>
      </c>
      <c r="B4" s="32" t="s">
        <v>75</v>
      </c>
    </row>
    <row r="5" customFormat="false" ht="27.75" hidden="false" customHeight="true" outlineLevel="0" collapsed="false">
      <c r="A5" s="31" t="s">
        <v>22</v>
      </c>
      <c r="B5" s="32" t="s">
        <v>76</v>
      </c>
    </row>
    <row r="6" customFormat="false" ht="27.75" hidden="false" customHeight="true" outlineLevel="0" collapsed="false">
      <c r="A6" s="31" t="s">
        <v>16</v>
      </c>
      <c r="B6" s="32" t="s">
        <v>77</v>
      </c>
    </row>
    <row r="7" customFormat="false" ht="27.75" hidden="false" customHeight="true" outlineLevel="0" collapsed="false">
      <c r="A7" s="31" t="s">
        <v>19</v>
      </c>
      <c r="B7" s="3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33" t="s">
        <v>79</v>
      </c>
    </row>
    <row r="2" customFormat="false" ht="27.75" hidden="false" customHeight="true" outlineLevel="0" collapsed="false">
      <c r="A2" s="32" t="s">
        <v>80</v>
      </c>
    </row>
    <row r="3" customFormat="false" ht="15" hidden="false" customHeight="true" outlineLevel="0" collapsed="false">
      <c r="A3" s="32" t="s">
        <v>81</v>
      </c>
    </row>
    <row r="4" customFormat="false" ht="27.75" hidden="false" customHeight="true" outlineLevel="0" collapsed="false">
      <c r="A4" s="32" t="s">
        <v>82</v>
      </c>
    </row>
    <row r="5" customFormat="false" ht="15" hidden="false" customHeight="true" outlineLevel="0" collapsed="false">
      <c r="A5" s="32" t="s">
        <v>83</v>
      </c>
    </row>
    <row r="6" customFormat="false" ht="41.25" hidden="false" customHeight="true" outlineLevel="0" collapsed="false">
      <c r="A6" s="32" t="s">
        <v>84</v>
      </c>
    </row>
    <row r="7" customFormat="false" ht="15" hidden="false" customHeight="true" outlineLevel="0" collapsed="false">
      <c r="A7" s="32" t="s">
        <v>85</v>
      </c>
    </row>
    <row r="8" customFormat="false" ht="27.75" hidden="false" customHeight="true" outlineLevel="0" collapsed="false">
      <c r="A8" s="32" t="s">
        <v>86</v>
      </c>
    </row>
    <row r="9" customFormat="false" ht="27.75" hidden="false" customHeight="true" outlineLevel="0" collapsed="false">
      <c r="A9" s="32" t="s">
        <v>87</v>
      </c>
    </row>
    <row r="10" customFormat="false" ht="27.75" hidden="false" customHeight="true" outlineLevel="0" collapsed="false">
      <c r="A10" s="32" t="s">
        <v>88</v>
      </c>
    </row>
    <row r="11" customFormat="false" ht="41.25" hidden="false" customHeight="true" outlineLevel="0" collapsed="false">
      <c r="A11" s="32" t="s">
        <v>89</v>
      </c>
    </row>
    <row r="12" customFormat="false" ht="15" hidden="false" customHeight="true" outlineLevel="0" collapsed="false">
      <c r="A12" s="32"/>
    </row>
    <row r="13" customFormat="false" ht="15" hidden="false" customHeight="true" outlineLevel="0" collapsed="false">
      <c r="A13" s="33" t="s">
        <v>90</v>
      </c>
    </row>
    <row r="14" customFormat="false" ht="27.75" hidden="false" customHeight="true" outlineLevel="0" collapsed="false">
      <c r="A14" s="32" t="s">
        <v>91</v>
      </c>
    </row>
    <row r="15" customFormat="false" ht="15" hidden="false" customHeight="true" outlineLevel="0" collapsed="false">
      <c r="A15" s="32" t="s">
        <v>92</v>
      </c>
    </row>
    <row r="16" customFormat="false" ht="15" hidden="false" customHeight="true" outlineLevel="0" collapsed="false">
      <c r="A16" s="32" t="s">
        <v>93</v>
      </c>
    </row>
    <row r="17" customFormat="false" ht="15" hidden="false" customHeight="true" outlineLevel="0" collapsed="false">
      <c r="A17" s="32"/>
    </row>
    <row r="18" customFormat="false" ht="27.75" hidden="false" customHeight="true" outlineLevel="0" collapsed="false">
      <c r="A18" s="3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2026-10-06T15:24:21Z</dcterms:created>
  <dc:creator>openpyxl</dc:creator>
  <dc:description/>
  <dc:language>en-US</dc:language>
  <cp:lastModifiedBy/>
  <dcterms:modified xsi:type="dcterms:W3CDTF">2026-10-06T15:24:36Z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